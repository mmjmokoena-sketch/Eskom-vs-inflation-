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Summary" sheetId="2" state="visible" r:id="rId4"/>
    <sheet name="Tariff increases" sheetId="3" state="visible" r:id="rId5"/>
    <sheet name="CPI" sheetId="4" state="visible" r:id="rId6"/>
    <sheet name="Settings" sheetId="5" state="visible" r:id="rId7"/>
    <sheet name="Comparison" sheetId="6" state="visible" r:id="rId8"/>
    <sheet name="Checks" sheetId="7" state="visible" r:id="rId9"/>
    <sheet name="Sources" sheetId="8" state="visible" r:id="rId10"/>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Years are the calendar year in which the financial year starts (April).</t>
        </r>
      </text>
    </comment>
  </commentList>
</comments>
</file>

<file path=xl/sharedStrings.xml><?xml version="1.0" encoding="utf-8"?>
<sst xmlns="http://schemas.openxmlformats.org/spreadsheetml/2006/main" count="305" uniqueCount="222">
  <si>
    <t xml:space="preserve">How to read this workbook</t>
  </si>
  <si>
    <t xml:space="preserve">Blue text = values typed from your two Excel files. Black = formulas. Green = links to another sheet. Yellow fill = needs your attention.</t>
  </si>
  <si>
    <t xml:space="preserve">What was cleaned from your files</t>
  </si>
  <si>
    <t xml:space="preserve">Percent signs and the letter c were removed so every number is numeric. Increases are stored as percentages (27.5% is 0.275).</t>
  </si>
  <si>
    <t xml:space="preserve">Tariff sources now name the documents I could read (see the Sources sheet). Your Verified flags are kept exactly as you set them.</t>
  </si>
  <si>
    <t xml:space="preserve">CPI figures 2008 to 2025 were checked against Stats SA's CPI history table (P0141, Table B2, annual average) and the source is recorded. Yellow cells in the CPI sheet were changed from your file; the difference column shows by how much.</t>
  </si>
  <si>
    <t xml:space="preserve">Items to resolve before you publish</t>
  </si>
  <si>
    <t xml:space="preserve">1. CPI 2008: Stats SA's headline annual average is 11.5%. Your file's 9.9% does not match an annual figure I could find (December 2008 year-on-year was 9.5%). 11.5% is used.</t>
  </si>
  <si>
    <t xml:space="preserve">2. CPI 2009, 2013, 2018 and 2021 differ by 0.1 point from your file and were set to the Stats SA values (7.1, 5.7, 4.7, 4.5).</t>
  </si>
  <si>
    <t xml:space="preserve">3. CPI 2026 is your projected figure, not a completed annual average, so it is excluded from the comparison.</t>
  </si>
  <si>
    <t xml:space="preserve">4. Tariff evidence: only 2022/23 is backed by a primary Eskom document. Most other years are cross-checked across two or more secondary sources. Years to confirm in a NERSA decision or an Eskom tariff book: 2013 (single source), 2014, 2017 and 2020 (not confirmed), 2021 (sources conflict: 15.63 vs 15.06), 2016 and 2019 (single source).</t>
  </si>
  <si>
    <t xml:space="preserve">5. Some increases took effect part-way through the financial year (for example 2008 and 1 July 2009). Direct customers (April) and municipal customers (July) also get different increases, for example 9.61% and 8.61% in 2022/23. This series is the direct-customer average increase.</t>
  </si>
  <si>
    <t xml:space="preserve">6. Two-decimal figures were taken from the sources for 2015 (12.69), 2018 (5.23), 2021 (15.63), 2022 (9.61) and 2023 (18.65). The Tariff sheet shows your original value and the difference.</t>
  </si>
  <si>
    <t xml:space="preserve">7. The Notes column in the CPI sheet contains explanations of why inflation moved. Keep them as your commentary, but they are not data and need their own sources if used in the paper.</t>
  </si>
  <si>
    <t xml:space="preserve">8. Stats SA notes that CPI covers primary urban areas up to December 2008 and all urban areas from January 2009, with substantial changes to how it is compiled in January 2009. Values before and after are linked into one series but are not strictly like for like.</t>
  </si>
  <si>
    <t xml:space="preserve">Assumptions</t>
  </si>
  <si>
    <t xml:space="preserve">Year in the tariff table = calendar year in which the financial year starts (Apr), for example 2008 = FY2008/09. The price series is consistent with this (see Checks).</t>
  </si>
  <si>
    <t xml:space="preserve">Each financial year is compared with CPI for the calendar year in which it starts (Settings, CPI year offset = 0).</t>
  </si>
  <si>
    <t xml:space="preserve">Measure</t>
  </si>
  <si>
    <t xml:space="preserve">Value</t>
  </si>
  <si>
    <t xml:space="preserve">How it is calculated</t>
  </si>
  <si>
    <t xml:space="preserve">Years compared</t>
  </si>
  <si>
    <t xml:space="preserve">Number of financial years in the Comparison sheet.</t>
  </si>
  <si>
    <t xml:space="preserve">Years tariff increase was above CPI</t>
  </si>
  <si>
    <t xml:space="preserve">Count of Yes in the Comparison sheet.</t>
  </si>
  <si>
    <t xml:space="preserve">Tariff: total growth</t>
  </si>
  <si>
    <t xml:space="preserve">Final tariff index divided by 100, minus 1.</t>
  </si>
  <si>
    <t xml:space="preserve">CPI: total growth</t>
  </si>
  <si>
    <t xml:space="preserve">Final CPI index divided by 100, minus 1.</t>
  </si>
  <si>
    <t xml:space="preserve">Tariff: average growth per year (CAGR)</t>
  </si>
  <si>
    <t xml:space="preserve">(end / start) to the power 1/years, minus 1.</t>
  </si>
  <si>
    <t xml:space="preserve">CPI: average growth per year (CAGR)</t>
  </si>
  <si>
    <t xml:space="preserve">Same formula for CPI.</t>
  </si>
  <si>
    <t xml:space="preserve">Average yearly gap (percentage points)</t>
  </si>
  <si>
    <t xml:space="preserve">Simple average of the yearly gaps.</t>
  </si>
  <si>
    <t xml:space="preserve">Real tariff index at end of period</t>
  </si>
  <si>
    <t xml:space="preserve">Tariff index / CPI index x 100. Above 100 means tariffs outran prices.</t>
  </si>
  <si>
    <t xml:space="preserve">FY start year</t>
  </si>
  <si>
    <t xml:space="preserve">Financial year</t>
  </si>
  <si>
    <t xml:space="preserve">Approved average increase</t>
  </si>
  <si>
    <t xml:space="preserve">Value in your file</t>
  </si>
  <si>
    <t xml:space="preserve">Difference (percentage points)</t>
  </si>
  <si>
    <t xml:space="preserve">Average price (c/kWh)</t>
  </si>
  <si>
    <t xml:space="preserve">Evidence found</t>
  </si>
  <si>
    <t xml:space="preserve">Sources read</t>
  </si>
  <si>
    <t xml:space="preserve">Verified (your flag)</t>
  </si>
  <si>
    <t xml:space="preserve">Note</t>
  </si>
  <si>
    <t xml:space="preserve">Cross-checked (2+ secondary)</t>
  </si>
  <si>
    <t xml:space="preserve">M&amp;G 25 Jun 2008; Our Power</t>
  </si>
  <si>
    <t xml:space="preserve">Took effect part-way through the year.</t>
  </si>
  <si>
    <t xml:space="preserve">M&amp;G 25 Jun 2009; Our Power</t>
  </si>
  <si>
    <t xml:space="preserve">Effective 1 July 2009 (mid-year).</t>
  </si>
  <si>
    <t xml:space="preserve">Business Times 10 Mar 2019; MyBroadband (Eskom tariff books); Our Power</t>
  </si>
  <si>
    <t xml:space="preserve">Business Times 10 Mar 2019; Our Power</t>
  </si>
  <si>
    <t xml:space="preserve">MyBroadband shows a 25.20% average price increase, a different measure.</t>
  </si>
  <si>
    <t xml:space="preserve">Approved as 25.9% then revised to 16%.</t>
  </si>
  <si>
    <t xml:space="preserve">Single secondary source</t>
  </si>
  <si>
    <t xml:space="preserve">Our Power</t>
  </si>
  <si>
    <t xml:space="preserve">Confirm in a NERSA decision or Eskom tariff book.</t>
  </si>
  <si>
    <t xml:space="preserve">Not confirmed</t>
  </si>
  <si>
    <t xml:space="preserve">Not confirmed in sources read</t>
  </si>
  <si>
    <t xml:space="preserve">Needs a source.</t>
  </si>
  <si>
    <t xml:space="preserve">BusinessTech compilation; Citizen (2016)</t>
  </si>
  <si>
    <t xml:space="preserve">Two decimals taken from those sources; your file had 12.7.</t>
  </si>
  <si>
    <t xml:space="preserve">Citizen (2016)</t>
  </si>
  <si>
    <t xml:space="preserve">Needs a source. Municipal increase that year was about 0.3% (Stats SA).</t>
  </si>
  <si>
    <t xml:space="preserve">Sowetan 9 Sep 2026; SavePower; Our Power</t>
  </si>
  <si>
    <t xml:space="preserve">NERSA approved 5.23% in Dec 2017; your file had 5.2.</t>
  </si>
  <si>
    <t xml:space="preserve">Business Times 10 Mar 2019</t>
  </si>
  <si>
    <t xml:space="preserve">Conflict or not confirmed</t>
  </si>
  <si>
    <t xml:space="preserve">Business Times (2019) reported 8.1% for 2020/21. Confirm which applied.</t>
  </si>
  <si>
    <t xml:space="preserve">Sources conflict</t>
  </si>
  <si>
    <t xml:space="preserve">PowerOptimal 2022; (SavePower shows 15.06)</t>
  </si>
  <si>
    <t xml:space="preserve">15.63% used (two decimals from PowerOptimal); SavePower lists 15.06%. Confirm in Eskom's tariff book.</t>
  </si>
  <si>
    <t xml:space="preserve">Primary document</t>
  </si>
  <si>
    <t xml:space="preserve">Eskom Tariff Booklet 2022/23; Sowetan; PowerOptimal; SavePower</t>
  </si>
  <si>
    <t xml:space="preserve">Direct customers from 1 April 2022; municipal increase was 8.61% from 1 July 2022.</t>
  </si>
  <si>
    <t xml:space="preserve">Sowetan 9 Sep 2026; News24 12 Jan 2023; SavePower</t>
  </si>
  <si>
    <t xml:space="preserve">Your file had 18.7.</t>
  </si>
  <si>
    <t xml:space="preserve">Sowetan 9 Sep 2026; News24 12 Jan 2023</t>
  </si>
  <si>
    <t xml:space="preserve">Engineering News 30 Jan 2025; Business Report (Feb 2025)</t>
  </si>
  <si>
    <t xml:space="preserve">Engineering News 10 Mar 2026; Daily Investor 2026</t>
  </si>
  <si>
    <t xml:space="preserve">Effective 1 April 2026. Excluded from the comparison (CPI 2026 incomplete). Average price definitions differ: Our Power lists 234 c/kWh and Daily Investor about 241.6 c/kWh (Mar 2026). Not used in the analysis.</t>
  </si>
  <si>
    <t xml:space="preserve">Calendar year</t>
  </si>
  <si>
    <t xml:space="preserve">Annual average CPI inflation</t>
  </si>
  <si>
    <t xml:space="preserve">Source</t>
  </si>
  <si>
    <t xml:space="preserve">Verified</t>
  </si>
  <si>
    <t xml:space="preserve">Stats SA P0141 CPI history, Table B2 (annual average)</t>
  </si>
  <si>
    <t xml:space="preserve">Stats SA headline annual average is 11.5. Your file also listed 9.9, which is not an annual average I could match (December 2008 year-on-year was 9.5). Global Financial Crisis food/fuel shock</t>
  </si>
  <si>
    <t xml:space="preserve">Corrected from 7.2 in your file to 7.1 to match Stats SA. Post-recession recovery</t>
  </si>
  <si>
    <t xml:space="preserve">World Cup year, inflation slows down</t>
  </si>
  <si>
    <t xml:space="preserve">Steady recovery period</t>
  </si>
  <si>
    <t xml:space="preserve">Moderate inflation</t>
  </si>
  <si>
    <t xml:space="preserve">Corrected from 5.8 in your file to 5.7 to match Stats SA. SARB target boundary pressure</t>
  </si>
  <si>
    <t xml:space="preserve">Food &amp; transport price pressure</t>
  </si>
  <si>
    <t xml:space="preserve">Global oil price drops</t>
  </si>
  <si>
    <t xml:space="preserve">Severe regional drought shock</t>
  </si>
  <si>
    <t xml:space="preserve">SARB shifts focus to 4.5% midpoint</t>
  </si>
  <si>
    <t xml:space="preserve">Corrected from 4.6 in your file to 4.7 to match Stats SA. Moderate inflation</t>
  </si>
  <si>
    <t xml:space="preserve">Subdued economic growth</t>
  </si>
  <si>
    <t xml:space="preserve">COVID-19 pandemic lockdowns drop demand</t>
  </si>
  <si>
    <t xml:space="preserve">Corrected from 4.6 in your file to 4.5 to match Stats SA. Supply chain recovery</t>
  </si>
  <si>
    <t xml:space="preserve">Global post-COVID energy &amp; food shocks</t>
  </si>
  <si>
    <t xml:space="preserve">High food &amp; administered price inflation</t>
  </si>
  <si>
    <t xml:space="preserve">Interest rate tightening takes effect</t>
  </si>
  <si>
    <t xml:space="preserve">Lowest average inflation rate in decades</t>
  </si>
  <si>
    <t xml:space="preserve">Your file (projection)</t>
  </si>
  <si>
    <t xml:space="preserve">Projected, not a completed annual average; not used in the comparison. Stats SA monthly rates for Jan to Sep 2026 average about 4.0. Current projected average</t>
  </si>
  <si>
    <t xml:space="preserve">Setting</t>
  </si>
  <si>
    <t xml:space="preserve">Meaning</t>
  </si>
  <si>
    <t xml:space="preserve">Index starting level</t>
  </si>
  <si>
    <t xml:space="preserve">Index is 100 just before the first financial year (Apr 2008).</t>
  </si>
  <si>
    <t xml:space="preserve">Last financial year compared (start year)</t>
  </si>
  <si>
    <t xml:space="preserve">FY2025/26. CPI for calendar 2026 is not complete until early 2027, so the comparison stops here.</t>
  </si>
  <si>
    <t xml:space="preserve">CPI year offset</t>
  </si>
  <si>
    <t xml:space="preserve">0 = compare each FY with CPI for the calendar year in which it starts; 1 = year in which it ends.</t>
  </si>
  <si>
    <t xml:space="preserve">Tariff increase</t>
  </si>
  <si>
    <t xml:space="preserve">CPI inflation</t>
  </si>
  <si>
    <t xml:space="preserve">Gap (percentage points)</t>
  </si>
  <si>
    <t xml:space="preserve">Tariff above CPI?</t>
  </si>
  <si>
    <t xml:space="preserve">Tariff index</t>
  </si>
  <si>
    <t xml:space="preserve">CPI index</t>
  </si>
  <si>
    <t xml:space="preserve">Real tariff index</t>
  </si>
  <si>
    <t xml:space="preserve">Rows stop at FY2025/26 (see Settings). Tariff index and CPI index compound each year's increase from 100.</t>
  </si>
  <si>
    <t xml:space="preserve">Previous year price</t>
  </si>
  <si>
    <t xml:space="preserve">Approved increase</t>
  </si>
  <si>
    <t xml:space="preserve">Implied by prices</t>
  </si>
  <si>
    <t xml:space="preserve">Lowest allowed by price rounding</t>
  </si>
  <si>
    <t xml:space="preserve">Highest allowed by price rounding</t>
  </si>
  <si>
    <t xml:space="preserve">Result</t>
  </si>
  <si>
    <t xml:space="preserve">Prices are rounded to the nearest cent, so the increase implied by two prices is only accurate within a range. OK means your approved increase falls inside that range.</t>
  </si>
  <si>
    <t xml:space="preserve">No.</t>
  </si>
  <si>
    <t xml:space="preserve">Type</t>
  </si>
  <si>
    <t xml:space="preserve">Used for</t>
  </si>
  <si>
    <t xml:space="preserve">URL</t>
  </si>
  <si>
    <t xml:space="preserve">Date accessed</t>
  </si>
  <si>
    <t xml:space="preserve">Stats SA P0141 CPI history, Table B2 (headline CPI year-on-year, Average column)</t>
  </si>
  <si>
    <t xml:space="preserve">Primary</t>
  </si>
  <si>
    <t xml:space="preserve">Annual average CPI 2008 to 2025; 2026 partial</t>
  </si>
  <si>
    <t xml:space="preserve">https://www.statssa.gov.za/publications/P0141/CPIHistory.pdf?SCH=73815</t>
  </si>
  <si>
    <t xml:space="preserve">29 Oct 2026</t>
  </si>
  <si>
    <t xml:space="preserve">Footnotes: primary urban areas to Dec 2008, all urban areas from Jan 2009; compilation changes in Jan 2009.</t>
  </si>
  <si>
    <t xml:space="preserve">Stats SA P0141 CPI release, May 2008</t>
  </si>
  <si>
    <t xml:space="preserve">2008 context: headline vs CPIX monthly rates</t>
  </si>
  <si>
    <t xml:space="preserve">https://statssa.gov.za/publications/P0141/P0141May2008.pdf</t>
  </si>
  <si>
    <t xml:space="preserve">CPIX was the inflation-target measure in 2008.</t>
  </si>
  <si>
    <t xml:space="preserve">Eskom Tariffs and Charges Booklet 2022/23</t>
  </si>
  <si>
    <t xml:space="preserve">2022/23 increase: 9.61% direct customers (municipal 8.61% from 1 Jul 2022)</t>
  </si>
  <si>
    <t xml:space="preserve">https://www.eskom.co.za/distribution/wp-content/uploads/2022/05/4756-ESKOM-Tariff-Booklet-2022-Final-Rev.pdf</t>
  </si>
  <si>
    <t xml:space="preserve">Shows direct and municipal increases differ.</t>
  </si>
  <si>
    <t xml:space="preserve">Mail &amp; Guardian, 25 Jun 2008, May CPIX jumps to 10,9%</t>
  </si>
  <si>
    <t xml:space="preserve">Secondary</t>
  </si>
  <si>
    <t xml:space="preserve">2008/09: Eskom allowed 27.5% on average</t>
  </si>
  <si>
    <t xml:space="preserve">https://mg.co.za/business/2008-06-25-may-cpix-jumps-to-10-9/</t>
  </si>
  <si>
    <t xml:space="preserve">Report of the NERSA decision.</t>
  </si>
  <si>
    <t xml:space="preserve">Mail &amp; Guardian, 25 Jun 2009, Eskom granted a 31.3% tariff increase</t>
  </si>
  <si>
    <t xml:space="preserve">2009/10: 31.3%</t>
  </si>
  <si>
    <t xml:space="preserve">https://mg.co.za/article/2009-06-25-eskom-granted-a-313-tariff-increase</t>
  </si>
  <si>
    <t xml:space="preserve">Mail &amp; Guardian, 25 Mar 2009, Inflation up 8,6% in February</t>
  </si>
  <si>
    <t xml:space="preserve">2008 CPI 11.5% and CPIX 11.3%</t>
  </si>
  <si>
    <t xml:space="preserve">https://mg.co.za/article/2009-03-25-inflation-up-86-in-february/</t>
  </si>
  <si>
    <t xml:space="preserve">Separates CPIX from headline CPI.</t>
  </si>
  <si>
    <t xml:space="preserve">Mail &amp; Guardian, 22 Jun 2011, Consumer price index for May up at 4.6%</t>
  </si>
  <si>
    <t xml:space="preserve">CPI 2008 11.5%, 2009 7.1%, 2010 4.3%</t>
  </si>
  <si>
    <t xml:space="preserve">https://mg.co.za/article/2011-06-22-consumer-price-index-for-may-up-at-46/</t>
  </si>
  <si>
    <t xml:space="preserve">Agrees with Stats SA table.</t>
  </si>
  <si>
    <t xml:space="preserve">Business Times / Sunday Times, 10 Mar 2019, Nersa has starved Eskom of papgeld</t>
  </si>
  <si>
    <t xml:space="preserve">2010 to 2012 increases (24.8, 25.8, 25.9 revised to 16); 2019/20 9.4%; later 8.1% and 5.2%</t>
  </si>
  <si>
    <t xml:space="preserve">https://www.pressreader.com/south-africa/sunday-times-1107/20190310/282376925893489</t>
  </si>
  <si>
    <t xml:space="preserve">Reports 8.1% for 2020/21; your file has 6.9%, check.</t>
  </si>
  <si>
    <t xml:space="preserve">MyBroadband, Eskom electricity prices 1994 to 2020</t>
  </si>
  <si>
    <t xml:space="preserve">Secondary (from Eskom tariff books)</t>
  </si>
  <si>
    <t xml:space="preserve">2010: 41.57 c/kWh, 24.80%; 2011: 52.30 c/kWh, 25.20% average price increase</t>
  </si>
  <si>
    <t xml:space="preserve">https://mybroadband.co.za/news/energy/362660-eskom-electricity-prices-1994-to-2020.html</t>
  </si>
  <si>
    <t xml:space="preserve">Average price increase can differ from the approved increase.</t>
  </si>
  <si>
    <t xml:space="preserve">Our Power, Eskom Tariff Increase History</t>
  </si>
  <si>
    <t xml:space="preserve">Secondary compilation</t>
  </si>
  <si>
    <t xml:space="preserve">Annual increases and average c/kWh (for example 2010 to 2013, 2018)</t>
  </si>
  <si>
    <t xml:space="preserve">https://www.ourpower.co.za/tools/eskom-tariff-history</t>
  </si>
  <si>
    <t xml:space="preserve">Lists 234 c/kWh for 2026; your file has 226.</t>
  </si>
  <si>
    <t xml:space="preserve">Sowetan, 9 Sep 2026, Eskom entering death spiral</t>
  </si>
  <si>
    <t xml:space="preserve">5.23% (2018), 9.61% (2022/23), 18.65% (2023/24), 12.74% (2024/25)</t>
  </si>
  <si>
    <t xml:space="preserve">https://www.sowetan.co.za/news/2026-09-09-eskom-entering-death-spiral-as-higher-costs-push-consumers-to-alternative-energy-sources/</t>
  </si>
  <si>
    <t xml:space="preserve">SavePower, Eskom Electricity Tariffs 2025</t>
  </si>
  <si>
    <t xml:space="preserve">5.23%, 9.61%, 18.65%; shows 15.06% for 2021/22</t>
  </si>
  <si>
    <t xml:space="preserve">https://www.savepower.co.za/eskom-electricity-tariffs.html</t>
  </si>
  <si>
    <t xml:space="preserve">Conflicts with 15.63% for 2021/22.</t>
  </si>
  <si>
    <t xml:space="preserve">PowerOptimal, 2022 update</t>
  </si>
  <si>
    <t xml:space="preserve">2021/22: 15.63%; 2022/23: 9.61%</t>
  </si>
  <si>
    <t xml:space="preserve">https://poweroptimal.com/2021-update-eskom-tariff-increases-vs-inflation-since-1988/</t>
  </si>
  <si>
    <t xml:space="preserve">PowerOptimal, 2024 update</t>
  </si>
  <si>
    <t xml:space="preserve">2023: 18.7%; 2024: 12.7%</t>
  </si>
  <si>
    <t xml:space="preserve">https://poweroptimal.com/2024-update-eskom-tariff-increases-vs-inflation-since-1988-with-projections-to-2026/</t>
  </si>
  <si>
    <t xml:space="preserve">News24, 12 Jan 2023, Nersa approves 18.65% electricity tariff hike</t>
  </si>
  <si>
    <t xml:space="preserve">2023/24: 18.65%</t>
  </si>
  <si>
    <t xml:space="preserve">https://www.news24.com/fin24/Economy/nersa-approves-1865-electricity-tariff-hike-for-eskom-20230112</t>
  </si>
  <si>
    <t xml:space="preserve">Engineering News, 30 Jan 2025, Nersa approves tariff hike for April 1</t>
  </si>
  <si>
    <t xml:space="preserve">2025/26: 12.74%</t>
  </si>
  <si>
    <t xml:space="preserve">https://www.engineeringnews.co.za/article/nersa-approves-tariff-hike-for-april-1-as-eskom-reports-r16bn-interim-profit-2025-01-30</t>
  </si>
  <si>
    <t xml:space="preserve">Engineering News, 10 Mar 2026, Nersa approves higher electricity hikes for 2026/27</t>
  </si>
  <si>
    <t xml:space="preserve">2026/27: 8.76% after the R54.7bn error</t>
  </si>
  <si>
    <t xml:space="preserve">https://www.engineeringnews.co.za/article/nersa-approves-higher-electricity-hikes-for-202627-after-r547bn-error-2026-03-10</t>
  </si>
  <si>
    <t xml:space="preserve">BusinessTech, Eskom's shocking annual price hike since 2007</t>
  </si>
  <si>
    <t xml:space="preserve">Cross-check of annual increases (used for 2015/16)</t>
  </si>
  <si>
    <t xml:space="preserve">https://businesstech.co.za/news/energy/91216/eskoms-shocking-annual-price-hike-since-2007/</t>
  </si>
  <si>
    <t xml:space="preserve">Content not re-read in full this session.</t>
  </si>
  <si>
    <t xml:space="preserve">Citizen / Lowvelder local news</t>
  </si>
  <si>
    <t xml:space="preserve">2015/16 12.69%, 2016/17 9.4% (as noted in the earlier starter file)</t>
  </si>
  <si>
    <t xml:space="preserve">https://citizen.co.za/lowvelder/?p=318316</t>
  </si>
  <si>
    <t xml:space="preserve">Daily Investor, South Africans will pay 10 times for electricity in 2027</t>
  </si>
  <si>
    <t xml:space="preserve">2007/08 5.9%; average price definitions</t>
  </si>
  <si>
    <t xml:space="preserve">https://dailyinvestor.com/energy/155975/south-africans-will-pay-10-times-for-electricity-in-2027-than-they-did-in-2008/</t>
  </si>
  <si>
    <t xml:space="preserve">Site blocked full-page access; search snippet only.</t>
  </si>
  <si>
    <t xml:space="preserve">Codera Analytics, Historical Eskom electricity tariff increases</t>
  </si>
  <si>
    <t xml:space="preserve">Alternative average price series (19.59 c/kWh in 2008/09)</t>
  </si>
  <si>
    <t xml:space="preserve">https://codera.co.za/historical-eskom-electricity-tariffs-increases-in-sa/</t>
  </si>
  <si>
    <t xml:space="preserve">Different tariff definition from other sources.</t>
  </si>
  <si>
    <t xml:space="preserve">Stats SA, Municipal finances and electricity: 11 years in perspective</t>
  </si>
  <si>
    <t xml:space="preserve">Primary (analysis)</t>
  </si>
  <si>
    <t xml:space="preserve">Municipal tariff increases differ from direct-customer increases</t>
  </si>
  <si>
    <t xml:space="preserve">https://www.statssa.gov.za/?p=15612</t>
  </si>
  <si>
    <t xml:space="preserve">For example, 2017/18 municipal increase was about 0.3%.</t>
  </si>
</sst>
</file>

<file path=xl/styles.xml><?xml version="1.0" encoding="utf-8"?>
<styleSheet xmlns="http://schemas.openxmlformats.org/spreadsheetml/2006/main">
  <numFmts count="7">
    <numFmt numFmtId="164" formatCode="General"/>
    <numFmt numFmtId="165" formatCode="0"/>
    <numFmt numFmtId="166" formatCode="0.0%"/>
    <numFmt numFmtId="167" formatCode="0.00%"/>
    <numFmt numFmtId="168" formatCode="0.00"/>
    <numFmt numFmtId="169" formatCode="0.0"/>
    <numFmt numFmtId="170"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1F4E79"/>
      <name val="Arial"/>
      <family val="0"/>
      <charset val="1"/>
    </font>
    <font>
      <sz val="10"/>
      <color rgb="FF000000"/>
      <name val="Arial"/>
      <family val="0"/>
      <charset val="1"/>
    </font>
    <font>
      <b val="true"/>
      <sz val="10"/>
      <color rgb="FFFFFFFF"/>
      <name val="Arial"/>
      <family val="0"/>
      <charset val="1"/>
    </font>
    <font>
      <sz val="10"/>
      <name val="Arial"/>
      <family val="0"/>
      <charset val="1"/>
    </font>
    <font>
      <sz val="10"/>
      <color rgb="FF0000FF"/>
      <name val="Arial"/>
      <family val="0"/>
      <charset val="1"/>
    </font>
    <font>
      <sz val="10"/>
      <name val="Arial"/>
      <family val="2"/>
    </font>
    <font>
      <sz val="10"/>
      <color rgb="FF008000"/>
      <name val="Arial"/>
      <family val="0"/>
      <charset val="1"/>
    </font>
    <font>
      <i val="true"/>
      <sz val="9"/>
      <name val="Arial"/>
      <family val="0"/>
      <charset val="1"/>
    </font>
    <font>
      <u val="single"/>
      <sz val="10"/>
      <color rgb="FF0563C1"/>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protection locked="true" hidden="false"/>
    </xf>
    <xf numFmtId="169" fontId="7" fillId="0" borderId="1" xfId="0" applyFont="true" applyBorder="true" applyAlignment="true" applyProtection="false">
      <alignment horizontal="right"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true" applyProtection="false">
      <alignment horizontal="center"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hyperlink" Target="https://www.statssa.gov.za/publications/P0141/CPIHistory.pdf?SCH=73815" TargetMode="External"/><Relationship Id="rId2" Type="http://schemas.openxmlformats.org/officeDocument/2006/relationships/hyperlink" Target="https://statssa.gov.za/publications/P0141/P0141May2008.pdf" TargetMode="External"/><Relationship Id="rId3" Type="http://schemas.openxmlformats.org/officeDocument/2006/relationships/hyperlink" Target="https://www.eskom.co.za/distribution/wp-content/uploads/2022/05/4756-ESKOM-Tariff-Booklet-2022-Final-Rev.pdf" TargetMode="External"/><Relationship Id="rId4" Type="http://schemas.openxmlformats.org/officeDocument/2006/relationships/hyperlink" Target="https://mg.co.za/business/2008-06-25-may-cpix-jumps-to-10-9/" TargetMode="External"/><Relationship Id="rId5" Type="http://schemas.openxmlformats.org/officeDocument/2006/relationships/hyperlink" Target="https://mg.co.za/article/2009-06-25-eskom-granted-a-313-tariff-increase" TargetMode="External"/><Relationship Id="rId6" Type="http://schemas.openxmlformats.org/officeDocument/2006/relationships/hyperlink" Target="https://mg.co.za/article/2009-03-25-inflation-up-86-in-february/" TargetMode="External"/><Relationship Id="rId7" Type="http://schemas.openxmlformats.org/officeDocument/2006/relationships/hyperlink" Target="https://mg.co.za/article/2011-06-22-consumer-price-index-for-may-up-at-46/" TargetMode="External"/><Relationship Id="rId8" Type="http://schemas.openxmlformats.org/officeDocument/2006/relationships/hyperlink" Target="https://www.pressreader.com/south-africa/sunday-times-1107/20190310/282376925893489" TargetMode="External"/><Relationship Id="rId9" Type="http://schemas.openxmlformats.org/officeDocument/2006/relationships/hyperlink" Target="https://mybroadband.co.za/news/energy/362660-eskom-electricity-prices-1994-to-2020.html" TargetMode="External"/><Relationship Id="rId10" Type="http://schemas.openxmlformats.org/officeDocument/2006/relationships/hyperlink" Target="https://www.ourpower.co.za/tools/eskom-tariff-history" TargetMode="External"/><Relationship Id="rId11" Type="http://schemas.openxmlformats.org/officeDocument/2006/relationships/hyperlink" Target="https://www.sowetan.co.za/news/2026-09-09-eskom-entering-death-spiral-as-higher-costs-push-consumers-to-alternative-energy-sources/" TargetMode="External"/><Relationship Id="rId12" Type="http://schemas.openxmlformats.org/officeDocument/2006/relationships/hyperlink" Target="https://www.savepower.co.za/eskom-electricity-tariffs.html" TargetMode="External"/><Relationship Id="rId13" Type="http://schemas.openxmlformats.org/officeDocument/2006/relationships/hyperlink" Target="https://poweroptimal.com/2021-update-eskom-tariff-increases-vs-inflation-since-1988/" TargetMode="External"/><Relationship Id="rId14" Type="http://schemas.openxmlformats.org/officeDocument/2006/relationships/hyperlink" Target="https://poweroptimal.com/2024-update-eskom-tariff-increases-vs-inflation-since-1988-with-projections-to-2026/" TargetMode="External"/><Relationship Id="rId15" Type="http://schemas.openxmlformats.org/officeDocument/2006/relationships/hyperlink" Target="https://www.news24.com/fin24/Economy/nersa-approves-1865-electricity-tariff-hike-for-eskom-20230112" TargetMode="External"/><Relationship Id="rId16" Type="http://schemas.openxmlformats.org/officeDocument/2006/relationships/hyperlink" Target="https://www.engineeringnews.co.za/article/nersa-approves-tariff-hike-for-april-1-as-eskom-reports-r16bn-interim-profit-2025-01-30" TargetMode="External"/><Relationship Id="rId17" Type="http://schemas.openxmlformats.org/officeDocument/2006/relationships/hyperlink" Target="https://www.engineeringnews.co.za/article/nersa-approves-higher-electricity-hikes-for-202627-after-r547bn-error-2026-03-10" TargetMode="External"/><Relationship Id="rId18" Type="http://schemas.openxmlformats.org/officeDocument/2006/relationships/hyperlink" Target="https://businesstech.co.za/news/energy/91216/eskoms-shocking-annual-price-hike-since-2007/" TargetMode="External"/><Relationship Id="rId19" Type="http://schemas.openxmlformats.org/officeDocument/2006/relationships/hyperlink" Target="https://citizen.co.za/lowvelder/?p=318316" TargetMode="External"/><Relationship Id="rId20" Type="http://schemas.openxmlformats.org/officeDocument/2006/relationships/hyperlink" Target="https://dailyinvestor.com/energy/155975/south-africans-will-pay-10-times-for-electricity-in-2027-than-they-did-in-2008/" TargetMode="External"/><Relationship Id="rId21" Type="http://schemas.openxmlformats.org/officeDocument/2006/relationships/hyperlink" Target="https://codera.co.za/historical-eskom-electricity-tariffs-increases-in-sa/" TargetMode="External"/><Relationship Id="rId22" Type="http://schemas.openxmlformats.org/officeDocument/2006/relationships/hyperlink" Target="https://www.statssa.gov.za/?p=1561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t="s">
        <v>3</v>
      </c>
    </row>
    <row r="6" customFormat="false" ht="1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1" t="s">
        <v>6</v>
      </c>
    </row>
    <row r="10" customFormat="false" ht="23.8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35.05" hidden="false" customHeight="false" outlineLevel="0" collapsed="false">
      <c r="A13" s="2" t="s">
        <v>10</v>
      </c>
    </row>
    <row r="14" customFormat="false" ht="23.85" hidden="false" customHeight="false" outlineLevel="0" collapsed="false">
      <c r="A14" s="2" t="s">
        <v>11</v>
      </c>
    </row>
    <row r="15" customFormat="false" ht="23.85" hidden="false" customHeight="false" outlineLevel="0" collapsed="false">
      <c r="A15" s="2" t="s">
        <v>12</v>
      </c>
    </row>
    <row r="16" customFormat="false" ht="23.85" hidden="false" customHeight="false" outlineLevel="0" collapsed="false">
      <c r="A16" s="2" t="s">
        <v>13</v>
      </c>
    </row>
    <row r="17" customFormat="false" ht="23.8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1" t="s">
        <v>15</v>
      </c>
    </row>
    <row r="20" customFormat="false" ht="23.85" hidden="false" customHeight="false" outlineLevel="0" collapsed="false">
      <c r="A20" s="2" t="s">
        <v>16</v>
      </c>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60"/>
  </cols>
  <sheetData>
    <row r="1" customFormat="false" ht="15" hidden="false" customHeight="false" outlineLevel="0" collapsed="false">
      <c r="A1" s="3" t="s">
        <v>18</v>
      </c>
      <c r="B1" s="3" t="s">
        <v>19</v>
      </c>
      <c r="C1" s="4" t="s">
        <v>20</v>
      </c>
    </row>
    <row r="2" customFormat="false" ht="15" hidden="false" customHeight="false" outlineLevel="0" collapsed="false">
      <c r="A2" s="5" t="s">
        <v>21</v>
      </c>
      <c r="B2" s="6" t="n">
        <f aca="false">COUNT(Comparison!C2:C19)</f>
        <v>18</v>
      </c>
      <c r="C2" s="7" t="s">
        <v>22</v>
      </c>
    </row>
    <row r="3" customFormat="false" ht="15" hidden="false" customHeight="false" outlineLevel="0" collapsed="false">
      <c r="A3" s="5" t="s">
        <v>23</v>
      </c>
      <c r="B3" s="6" t="n">
        <f aca="false">COUNTIF(Comparison!F2:F19,"Yes")</f>
        <v>17</v>
      </c>
      <c r="C3" s="7" t="s">
        <v>24</v>
      </c>
    </row>
    <row r="4" customFormat="false" ht="15" hidden="false" customHeight="false" outlineLevel="0" collapsed="false">
      <c r="A4" s="5" t="s">
        <v>25</v>
      </c>
      <c r="B4" s="8" t="n">
        <f aca="false">Comparison!G19/Settings!B2-1</f>
        <v>9.53921680818508</v>
      </c>
      <c r="C4" s="7" t="s">
        <v>26</v>
      </c>
    </row>
    <row r="5" customFormat="false" ht="15" hidden="false" customHeight="false" outlineLevel="0" collapsed="false">
      <c r="A5" s="5" t="s">
        <v>27</v>
      </c>
      <c r="B5" s="8" t="n">
        <f aca="false">Comparison!H19/Settings!B2-1</f>
        <v>1.6071841568884</v>
      </c>
      <c r="C5" s="7" t="s">
        <v>28</v>
      </c>
    </row>
    <row r="6" customFormat="false" ht="15" hidden="false" customHeight="false" outlineLevel="0" collapsed="false">
      <c r="A6" s="5" t="s">
        <v>29</v>
      </c>
      <c r="B6" s="9" t="n">
        <f aca="false">(Comparison!G19/Settings!B2)^(1/B2)-1</f>
        <v>0.139784339394315</v>
      </c>
      <c r="C6" s="7" t="s">
        <v>30</v>
      </c>
    </row>
    <row r="7" customFormat="false" ht="15" hidden="false" customHeight="false" outlineLevel="0" collapsed="false">
      <c r="A7" s="5" t="s">
        <v>31</v>
      </c>
      <c r="B7" s="9" t="n">
        <f aca="false">(Comparison!H19/Settings!B2)^(1/B2)-1</f>
        <v>0.0546798541590063</v>
      </c>
      <c r="C7" s="7" t="s">
        <v>32</v>
      </c>
    </row>
    <row r="8" customFormat="false" ht="15" hidden="false" customHeight="false" outlineLevel="0" collapsed="false">
      <c r="A8" s="5" t="s">
        <v>33</v>
      </c>
      <c r="B8" s="10" t="n">
        <f aca="false">AVERAGE(Comparison!E2:E19)</f>
        <v>8.77166666666667</v>
      </c>
      <c r="C8" s="7" t="s">
        <v>34</v>
      </c>
    </row>
    <row r="9" customFormat="false" ht="15" hidden="false" customHeight="false" outlineLevel="0" collapsed="false">
      <c r="A9" s="5" t="s">
        <v>35</v>
      </c>
      <c r="B9" s="11" t="n">
        <f aca="false">Comparison!I19</f>
        <v>404.23752884274</v>
      </c>
      <c r="C9" s="7" t="s">
        <v>36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18"/>
    <col collapsed="false" customWidth="true" hidden="false" outlineLevel="0" max="4" min="4" style="0" width="14"/>
    <col collapsed="false" customWidth="true" hidden="false" outlineLevel="0" max="6" min="5" style="0" width="16"/>
    <col collapsed="false" customWidth="true" hidden="false" outlineLevel="0" max="7" min="7" style="0" width="28"/>
    <col collapsed="false" customWidth="true" hidden="false" outlineLevel="0" max="8" min="8" style="0" width="52"/>
    <col collapsed="false" customWidth="true" hidden="false" outlineLevel="0" max="9" min="9" style="0" width="12"/>
    <col collapsed="false" customWidth="true" hidden="false" outlineLevel="0" max="10" min="10" style="0" width="60"/>
  </cols>
  <sheetData>
    <row r="1" customFormat="false" ht="31.5" hidden="false" customHeight="true" outlineLevel="0" collapsed="false">
      <c r="A1" s="12" t="s">
        <v>37</v>
      </c>
      <c r="B1" s="12" t="s">
        <v>38</v>
      </c>
      <c r="C1" s="12" t="s">
        <v>39</v>
      </c>
      <c r="D1" s="12" t="s">
        <v>40</v>
      </c>
      <c r="E1" s="12" t="s">
        <v>41</v>
      </c>
      <c r="F1" s="12" t="s">
        <v>42</v>
      </c>
      <c r="G1" s="12" t="s">
        <v>43</v>
      </c>
      <c r="H1" s="12" t="s">
        <v>44</v>
      </c>
      <c r="I1" s="12" t="s">
        <v>45</v>
      </c>
      <c r="J1" s="12" t="s">
        <v>46</v>
      </c>
    </row>
    <row r="2" customFormat="false" ht="15" hidden="false" customHeight="false" outlineLevel="0" collapsed="false">
      <c r="A2" s="13" t="n">
        <v>2008</v>
      </c>
      <c r="B2" s="14" t="str">
        <f aca="false">A2&amp;"/"&amp;RIGHT(A2+1,2)</f>
        <v>2008/09</v>
      </c>
      <c r="C2" s="15" t="n">
        <v>0.275</v>
      </c>
      <c r="D2" s="15" t="n">
        <v>0.275</v>
      </c>
      <c r="E2" s="16" t="n">
        <f aca="false">(C2-D2)*100</f>
        <v>0</v>
      </c>
      <c r="F2" s="17" t="n">
        <v>25</v>
      </c>
      <c r="G2" s="18" t="s">
        <v>47</v>
      </c>
      <c r="H2" s="18" t="s">
        <v>48</v>
      </c>
      <c r="I2" s="19" t="b">
        <f aca="false">TRUE()</f>
        <v>1</v>
      </c>
      <c r="J2" s="18" t="s">
        <v>49</v>
      </c>
    </row>
    <row r="3" customFormat="false" ht="15" hidden="false" customHeight="false" outlineLevel="0" collapsed="false">
      <c r="A3" s="13" t="n">
        <v>2009</v>
      </c>
      <c r="B3" s="14" t="str">
        <f aca="false">A3&amp;"/"&amp;RIGHT(A3+1,2)</f>
        <v>2009/10</v>
      </c>
      <c r="C3" s="15" t="n">
        <v>0.313</v>
      </c>
      <c r="D3" s="15" t="n">
        <v>0.313</v>
      </c>
      <c r="E3" s="16" t="n">
        <f aca="false">(C3-D3)*100</f>
        <v>0</v>
      </c>
      <c r="F3" s="17" t="n">
        <v>33</v>
      </c>
      <c r="G3" s="18" t="s">
        <v>47</v>
      </c>
      <c r="H3" s="18" t="s">
        <v>50</v>
      </c>
      <c r="I3" s="19" t="b">
        <f aca="false">TRUE()</f>
        <v>1</v>
      </c>
      <c r="J3" s="18" t="s">
        <v>51</v>
      </c>
    </row>
    <row r="4" customFormat="false" ht="23.85" hidden="false" customHeight="false" outlineLevel="0" collapsed="false">
      <c r="A4" s="13" t="n">
        <v>2010</v>
      </c>
      <c r="B4" s="14" t="str">
        <f aca="false">A4&amp;"/"&amp;RIGHT(A4+1,2)</f>
        <v>2010/11</v>
      </c>
      <c r="C4" s="15" t="n">
        <v>0.248</v>
      </c>
      <c r="D4" s="15" t="n">
        <v>0.248</v>
      </c>
      <c r="E4" s="16" t="n">
        <f aca="false">(C4-D4)*100</f>
        <v>0</v>
      </c>
      <c r="F4" s="17" t="n">
        <v>41</v>
      </c>
      <c r="G4" s="18" t="s">
        <v>47</v>
      </c>
      <c r="H4" s="18" t="s">
        <v>52</v>
      </c>
      <c r="I4" s="19" t="b">
        <f aca="false">TRUE()</f>
        <v>1</v>
      </c>
      <c r="J4" s="18"/>
    </row>
    <row r="5" customFormat="false" ht="23.85" hidden="false" customHeight="false" outlineLevel="0" collapsed="false">
      <c r="A5" s="13" t="n">
        <v>2011</v>
      </c>
      <c r="B5" s="14" t="str">
        <f aca="false">A5&amp;"/"&amp;RIGHT(A5+1,2)</f>
        <v>2011/12</v>
      </c>
      <c r="C5" s="15" t="n">
        <v>0.258</v>
      </c>
      <c r="D5" s="15" t="n">
        <v>0.258</v>
      </c>
      <c r="E5" s="16" t="n">
        <f aca="false">(C5-D5)*100</f>
        <v>0</v>
      </c>
      <c r="F5" s="17" t="n">
        <v>52</v>
      </c>
      <c r="G5" s="18" t="s">
        <v>47</v>
      </c>
      <c r="H5" s="18" t="s">
        <v>53</v>
      </c>
      <c r="I5" s="19" t="b">
        <f aca="false">TRUE()</f>
        <v>1</v>
      </c>
      <c r="J5" s="18" t="s">
        <v>54</v>
      </c>
    </row>
    <row r="6" customFormat="false" ht="15" hidden="false" customHeight="false" outlineLevel="0" collapsed="false">
      <c r="A6" s="13" t="n">
        <v>2012</v>
      </c>
      <c r="B6" s="14" t="str">
        <f aca="false">A6&amp;"/"&amp;RIGHT(A6+1,2)</f>
        <v>2012/13</v>
      </c>
      <c r="C6" s="15" t="n">
        <v>0.16</v>
      </c>
      <c r="D6" s="15" t="n">
        <v>0.16</v>
      </c>
      <c r="E6" s="16" t="n">
        <f aca="false">(C6-D6)*100</f>
        <v>0</v>
      </c>
      <c r="F6" s="17" t="n">
        <v>60</v>
      </c>
      <c r="G6" s="18" t="s">
        <v>47</v>
      </c>
      <c r="H6" s="18" t="s">
        <v>53</v>
      </c>
      <c r="I6" s="19" t="b">
        <f aca="false">TRUE()</f>
        <v>1</v>
      </c>
      <c r="J6" s="18" t="s">
        <v>55</v>
      </c>
    </row>
    <row r="7" customFormat="false" ht="15" hidden="false" customHeight="false" outlineLevel="0" collapsed="false">
      <c r="A7" s="13" t="n">
        <v>2013</v>
      </c>
      <c r="B7" s="14" t="str">
        <f aca="false">A7&amp;"/"&amp;RIGHT(A7+1,2)</f>
        <v>2013/14</v>
      </c>
      <c r="C7" s="15" t="n">
        <v>0.08</v>
      </c>
      <c r="D7" s="15" t="n">
        <v>0.08</v>
      </c>
      <c r="E7" s="16" t="n">
        <f aca="false">(C7-D7)*100</f>
        <v>0</v>
      </c>
      <c r="F7" s="17" t="n">
        <v>65</v>
      </c>
      <c r="G7" s="18" t="s">
        <v>56</v>
      </c>
      <c r="H7" s="18" t="s">
        <v>57</v>
      </c>
      <c r="I7" s="19" t="b">
        <f aca="false">TRUE()</f>
        <v>1</v>
      </c>
      <c r="J7" s="18" t="s">
        <v>58</v>
      </c>
    </row>
    <row r="8" customFormat="false" ht="15" hidden="false" customHeight="false" outlineLevel="0" collapsed="false">
      <c r="A8" s="13" t="n">
        <v>2014</v>
      </c>
      <c r="B8" s="14" t="str">
        <f aca="false">A8&amp;"/"&amp;RIGHT(A8+1,2)</f>
        <v>2014/15</v>
      </c>
      <c r="C8" s="15" t="n">
        <v>0.08</v>
      </c>
      <c r="D8" s="15" t="n">
        <v>0.08</v>
      </c>
      <c r="E8" s="16" t="n">
        <f aca="false">(C8-D8)*100</f>
        <v>0</v>
      </c>
      <c r="F8" s="17" t="n">
        <v>70</v>
      </c>
      <c r="G8" s="20" t="s">
        <v>59</v>
      </c>
      <c r="H8" s="18" t="s">
        <v>60</v>
      </c>
      <c r="I8" s="19" t="b">
        <f aca="false">TRUE()</f>
        <v>1</v>
      </c>
      <c r="J8" s="18" t="s">
        <v>61</v>
      </c>
    </row>
    <row r="9" customFormat="false" ht="15" hidden="false" customHeight="false" outlineLevel="0" collapsed="false">
      <c r="A9" s="13" t="n">
        <v>2015</v>
      </c>
      <c r="B9" s="14" t="str">
        <f aca="false">A9&amp;"/"&amp;RIGHT(A9+1,2)</f>
        <v>2015/16</v>
      </c>
      <c r="C9" s="21" t="n">
        <v>0.1269</v>
      </c>
      <c r="D9" s="15" t="n">
        <v>0.127</v>
      </c>
      <c r="E9" s="16" t="n">
        <f aca="false">(C9-D9)*100</f>
        <v>-0.0099999999999989</v>
      </c>
      <c r="F9" s="17" t="n">
        <v>79</v>
      </c>
      <c r="G9" s="18" t="s">
        <v>47</v>
      </c>
      <c r="H9" s="18" t="s">
        <v>62</v>
      </c>
      <c r="I9" s="19" t="b">
        <f aca="false">TRUE()</f>
        <v>1</v>
      </c>
      <c r="J9" s="18" t="s">
        <v>63</v>
      </c>
    </row>
    <row r="10" customFormat="false" ht="15" hidden="false" customHeight="false" outlineLevel="0" collapsed="false">
      <c r="A10" s="13" t="n">
        <v>2016</v>
      </c>
      <c r="B10" s="14" t="str">
        <f aca="false">A10&amp;"/"&amp;RIGHT(A10+1,2)</f>
        <v>2016/17</v>
      </c>
      <c r="C10" s="15" t="n">
        <v>0.094</v>
      </c>
      <c r="D10" s="15" t="n">
        <v>0.094</v>
      </c>
      <c r="E10" s="16" t="n">
        <f aca="false">(C10-D10)*100</f>
        <v>0</v>
      </c>
      <c r="F10" s="17" t="n">
        <v>86</v>
      </c>
      <c r="G10" s="18" t="s">
        <v>56</v>
      </c>
      <c r="H10" s="18" t="s">
        <v>64</v>
      </c>
      <c r="I10" s="19" t="b">
        <f aca="false">TRUE()</f>
        <v>1</v>
      </c>
      <c r="J10" s="18"/>
    </row>
    <row r="11" customFormat="false" ht="15" hidden="false" customHeight="false" outlineLevel="0" collapsed="false">
      <c r="A11" s="13" t="n">
        <v>2017</v>
      </c>
      <c r="B11" s="14" t="str">
        <f aca="false">A11&amp;"/"&amp;RIGHT(A11+1,2)</f>
        <v>2017/18</v>
      </c>
      <c r="C11" s="15" t="n">
        <v>0.022</v>
      </c>
      <c r="D11" s="15" t="n">
        <v>0.022</v>
      </c>
      <c r="E11" s="16" t="n">
        <f aca="false">(C11-D11)*100</f>
        <v>0</v>
      </c>
      <c r="F11" s="17" t="n">
        <v>88</v>
      </c>
      <c r="G11" s="20" t="s">
        <v>59</v>
      </c>
      <c r="H11" s="18" t="s">
        <v>60</v>
      </c>
      <c r="I11" s="19" t="b">
        <f aca="false">TRUE()</f>
        <v>1</v>
      </c>
      <c r="J11" s="18" t="s">
        <v>65</v>
      </c>
    </row>
    <row r="12" customFormat="false" ht="15" hidden="false" customHeight="false" outlineLevel="0" collapsed="false">
      <c r="A12" s="13" t="n">
        <v>2018</v>
      </c>
      <c r="B12" s="14" t="str">
        <f aca="false">A12&amp;"/"&amp;RIGHT(A12+1,2)</f>
        <v>2018/19</v>
      </c>
      <c r="C12" s="21" t="n">
        <v>0.0523</v>
      </c>
      <c r="D12" s="15" t="n">
        <v>0.052</v>
      </c>
      <c r="E12" s="16" t="n">
        <f aca="false">(C12-D12)*100</f>
        <v>0.0300000000000002</v>
      </c>
      <c r="F12" s="17" t="n">
        <v>93</v>
      </c>
      <c r="G12" s="18" t="s">
        <v>47</v>
      </c>
      <c r="H12" s="18" t="s">
        <v>66</v>
      </c>
      <c r="I12" s="19" t="b">
        <f aca="false">TRUE()</f>
        <v>1</v>
      </c>
      <c r="J12" s="18" t="s">
        <v>67</v>
      </c>
    </row>
    <row r="13" customFormat="false" ht="15" hidden="false" customHeight="false" outlineLevel="0" collapsed="false">
      <c r="A13" s="13" t="n">
        <v>2019</v>
      </c>
      <c r="B13" s="14" t="str">
        <f aca="false">A13&amp;"/"&amp;RIGHT(A13+1,2)</f>
        <v>2019/20</v>
      </c>
      <c r="C13" s="15" t="n">
        <v>0.094</v>
      </c>
      <c r="D13" s="15" t="n">
        <v>0.094</v>
      </c>
      <c r="E13" s="16" t="n">
        <f aca="false">(C13-D13)*100</f>
        <v>0</v>
      </c>
      <c r="F13" s="17" t="n">
        <v>102</v>
      </c>
      <c r="G13" s="18" t="s">
        <v>56</v>
      </c>
      <c r="H13" s="18" t="s">
        <v>68</v>
      </c>
      <c r="I13" s="19" t="b">
        <f aca="false">TRUE()</f>
        <v>1</v>
      </c>
      <c r="J13" s="18"/>
    </row>
    <row r="14" customFormat="false" ht="15" hidden="false" customHeight="false" outlineLevel="0" collapsed="false">
      <c r="A14" s="13" t="n">
        <v>2020</v>
      </c>
      <c r="B14" s="14" t="str">
        <f aca="false">A14&amp;"/"&amp;RIGHT(A14+1,2)</f>
        <v>2020/21</v>
      </c>
      <c r="C14" s="15" t="n">
        <v>0.069</v>
      </c>
      <c r="D14" s="15" t="n">
        <v>0.069</v>
      </c>
      <c r="E14" s="16" t="n">
        <f aca="false">(C14-D14)*100</f>
        <v>0</v>
      </c>
      <c r="F14" s="17" t="n">
        <v>109</v>
      </c>
      <c r="G14" s="20" t="s">
        <v>69</v>
      </c>
      <c r="H14" s="18" t="s">
        <v>60</v>
      </c>
      <c r="I14" s="19" t="b">
        <f aca="false">TRUE()</f>
        <v>1</v>
      </c>
      <c r="J14" s="18" t="s">
        <v>70</v>
      </c>
    </row>
    <row r="15" customFormat="false" ht="23.85" hidden="false" customHeight="false" outlineLevel="0" collapsed="false">
      <c r="A15" s="13" t="n">
        <v>2021</v>
      </c>
      <c r="B15" s="14" t="str">
        <f aca="false">A15&amp;"/"&amp;RIGHT(A15+1,2)</f>
        <v>2021/22</v>
      </c>
      <c r="C15" s="21" t="n">
        <v>0.1563</v>
      </c>
      <c r="D15" s="15" t="n">
        <v>0.156</v>
      </c>
      <c r="E15" s="16" t="n">
        <f aca="false">(C15-D15)*100</f>
        <v>0.0299999999999995</v>
      </c>
      <c r="F15" s="17" t="n">
        <v>126</v>
      </c>
      <c r="G15" s="20" t="s">
        <v>71</v>
      </c>
      <c r="H15" s="18" t="s">
        <v>72</v>
      </c>
      <c r="I15" s="19" t="b">
        <f aca="false">TRUE()</f>
        <v>1</v>
      </c>
      <c r="J15" s="18" t="s">
        <v>73</v>
      </c>
    </row>
    <row r="16" customFormat="false" ht="23.85" hidden="false" customHeight="false" outlineLevel="0" collapsed="false">
      <c r="A16" s="13" t="n">
        <v>2022</v>
      </c>
      <c r="B16" s="14" t="str">
        <f aca="false">A16&amp;"/"&amp;RIGHT(A16+1,2)</f>
        <v>2022/23</v>
      </c>
      <c r="C16" s="21" t="n">
        <v>0.0961</v>
      </c>
      <c r="D16" s="15" t="n">
        <v>0.096</v>
      </c>
      <c r="E16" s="16" t="n">
        <f aca="false">(C16-D16)*100</f>
        <v>0.0100000000000003</v>
      </c>
      <c r="F16" s="17" t="n">
        <v>138</v>
      </c>
      <c r="G16" s="18" t="s">
        <v>74</v>
      </c>
      <c r="H16" s="18" t="s">
        <v>75</v>
      </c>
      <c r="I16" s="19" t="b">
        <f aca="false">TRUE()</f>
        <v>1</v>
      </c>
      <c r="J16" s="18" t="s">
        <v>76</v>
      </c>
    </row>
    <row r="17" customFormat="false" ht="15" hidden="false" customHeight="false" outlineLevel="0" collapsed="false">
      <c r="A17" s="13" t="n">
        <v>2023</v>
      </c>
      <c r="B17" s="14" t="str">
        <f aca="false">A17&amp;"/"&amp;RIGHT(A17+1,2)</f>
        <v>2023/24</v>
      </c>
      <c r="C17" s="21" t="n">
        <v>0.1865</v>
      </c>
      <c r="D17" s="15" t="n">
        <v>0.187</v>
      </c>
      <c r="E17" s="16" t="n">
        <f aca="false">(C17-D17)*100</f>
        <v>-0.05</v>
      </c>
      <c r="F17" s="17" t="n">
        <v>164</v>
      </c>
      <c r="G17" s="18" t="s">
        <v>47</v>
      </c>
      <c r="H17" s="18" t="s">
        <v>77</v>
      </c>
      <c r="I17" s="19" t="b">
        <f aca="false">TRUE()</f>
        <v>1</v>
      </c>
      <c r="J17" s="18" t="s">
        <v>78</v>
      </c>
    </row>
    <row r="18" customFormat="false" ht="15" hidden="false" customHeight="false" outlineLevel="0" collapsed="false">
      <c r="A18" s="13" t="n">
        <v>2024</v>
      </c>
      <c r="B18" s="14" t="str">
        <f aca="false">A18&amp;"/"&amp;RIGHT(A18+1,2)</f>
        <v>2024/25</v>
      </c>
      <c r="C18" s="15" t="n">
        <v>0.1274</v>
      </c>
      <c r="D18" s="15" t="n">
        <v>0.1274</v>
      </c>
      <c r="E18" s="16" t="n">
        <f aca="false">(C18-D18)*100</f>
        <v>0</v>
      </c>
      <c r="F18" s="17" t="n">
        <v>185</v>
      </c>
      <c r="G18" s="18" t="s">
        <v>47</v>
      </c>
      <c r="H18" s="18" t="s">
        <v>79</v>
      </c>
      <c r="I18" s="19" t="b">
        <f aca="false">TRUE()</f>
        <v>1</v>
      </c>
      <c r="J18" s="18"/>
    </row>
    <row r="19" customFormat="false" ht="15" hidden="false" customHeight="false" outlineLevel="0" collapsed="false">
      <c r="A19" s="13" t="n">
        <v>2025</v>
      </c>
      <c r="B19" s="14" t="str">
        <f aca="false">A19&amp;"/"&amp;RIGHT(A19+1,2)</f>
        <v>2025/26</v>
      </c>
      <c r="C19" s="15" t="n">
        <v>0.1274</v>
      </c>
      <c r="D19" s="15" t="n">
        <v>0.1274</v>
      </c>
      <c r="E19" s="16" t="n">
        <f aca="false">(C19-D19)*100</f>
        <v>0</v>
      </c>
      <c r="F19" s="17" t="n">
        <v>208</v>
      </c>
      <c r="G19" s="18" t="s">
        <v>47</v>
      </c>
      <c r="H19" s="18" t="s">
        <v>80</v>
      </c>
      <c r="I19" s="19" t="b">
        <f aca="false">TRUE()</f>
        <v>1</v>
      </c>
      <c r="J19" s="18"/>
    </row>
    <row r="20" customFormat="false" ht="46.25" hidden="false" customHeight="false" outlineLevel="0" collapsed="false">
      <c r="A20" s="13" t="n">
        <v>2026</v>
      </c>
      <c r="B20" s="14" t="str">
        <f aca="false">A20&amp;"/"&amp;RIGHT(A20+1,2)</f>
        <v>2026/27</v>
      </c>
      <c r="C20" s="15" t="n">
        <v>0.0876</v>
      </c>
      <c r="D20" s="15" t="n">
        <v>0.0876</v>
      </c>
      <c r="E20" s="16" t="n">
        <f aca="false">(C20-D20)*100</f>
        <v>0</v>
      </c>
      <c r="F20" s="17" t="n">
        <v>226</v>
      </c>
      <c r="G20" s="18" t="s">
        <v>47</v>
      </c>
      <c r="H20" s="18" t="s">
        <v>81</v>
      </c>
      <c r="I20" s="19" t="b">
        <f aca="false">TRUE()</f>
        <v>1</v>
      </c>
      <c r="J20" s="18" t="s">
        <v>82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8"/>
    <col collapsed="false" customWidth="true" hidden="false" outlineLevel="0" max="3" min="3" style="0" width="46"/>
    <col collapsed="false" customWidth="true" hidden="false" outlineLevel="0" max="4" min="4" style="0" width="10"/>
    <col collapsed="false" customWidth="true" hidden="false" outlineLevel="0" max="5" min="5" style="0" width="14"/>
    <col collapsed="false" customWidth="true" hidden="false" outlineLevel="0" max="6" min="6" style="0" width="16"/>
    <col collapsed="false" customWidth="true" hidden="false" outlineLevel="0" max="7" min="7" style="0" width="80"/>
  </cols>
  <sheetData>
    <row r="1" customFormat="false" ht="31.5" hidden="false" customHeight="true" outlineLevel="0" collapsed="false">
      <c r="A1" s="12" t="s">
        <v>83</v>
      </c>
      <c r="B1" s="12" t="s">
        <v>84</v>
      </c>
      <c r="C1" s="12" t="s">
        <v>85</v>
      </c>
      <c r="D1" s="12" t="s">
        <v>86</v>
      </c>
      <c r="E1" s="12" t="s">
        <v>40</v>
      </c>
      <c r="F1" s="12" t="s">
        <v>41</v>
      </c>
      <c r="G1" s="12" t="s">
        <v>46</v>
      </c>
    </row>
    <row r="2" customFormat="false" ht="23.85" hidden="false" customHeight="false" outlineLevel="0" collapsed="false">
      <c r="A2" s="13" t="n">
        <v>2008</v>
      </c>
      <c r="B2" s="21" t="n">
        <v>0.115</v>
      </c>
      <c r="C2" s="22" t="s">
        <v>87</v>
      </c>
      <c r="D2" s="19" t="b">
        <f aca="false">TRUE()</f>
        <v>1</v>
      </c>
      <c r="E2" s="15" t="n">
        <v>0.099</v>
      </c>
      <c r="F2" s="23" t="n">
        <f aca="false">(B2-E2)*100</f>
        <v>1.6</v>
      </c>
      <c r="G2" s="18" t="s">
        <v>88</v>
      </c>
    </row>
    <row r="3" customFormat="false" ht="15" hidden="false" customHeight="false" outlineLevel="0" collapsed="false">
      <c r="A3" s="13" t="n">
        <v>2009</v>
      </c>
      <c r="B3" s="21" t="n">
        <v>0.071</v>
      </c>
      <c r="C3" s="22" t="s">
        <v>87</v>
      </c>
      <c r="D3" s="19" t="b">
        <f aca="false">TRUE()</f>
        <v>1</v>
      </c>
      <c r="E3" s="15" t="n">
        <v>0.072</v>
      </c>
      <c r="F3" s="23" t="n">
        <f aca="false">(B3-E3)*100</f>
        <v>-0.1</v>
      </c>
      <c r="G3" s="18" t="s">
        <v>89</v>
      </c>
    </row>
    <row r="4" customFormat="false" ht="15" hidden="false" customHeight="false" outlineLevel="0" collapsed="false">
      <c r="A4" s="13" t="n">
        <v>2010</v>
      </c>
      <c r="B4" s="15" t="n">
        <v>0.043</v>
      </c>
      <c r="C4" s="22" t="s">
        <v>87</v>
      </c>
      <c r="D4" s="19" t="b">
        <f aca="false">TRUE()</f>
        <v>1</v>
      </c>
      <c r="E4" s="15" t="n">
        <v>0.043</v>
      </c>
      <c r="F4" s="23" t="n">
        <f aca="false">(B4-E4)*100</f>
        <v>0</v>
      </c>
      <c r="G4" s="18" t="s">
        <v>90</v>
      </c>
    </row>
    <row r="5" customFormat="false" ht="15" hidden="false" customHeight="false" outlineLevel="0" collapsed="false">
      <c r="A5" s="13" t="n">
        <v>2011</v>
      </c>
      <c r="B5" s="15" t="n">
        <v>0.05</v>
      </c>
      <c r="C5" s="22" t="s">
        <v>87</v>
      </c>
      <c r="D5" s="19" t="b">
        <f aca="false">TRUE()</f>
        <v>1</v>
      </c>
      <c r="E5" s="15" t="n">
        <v>0.05</v>
      </c>
      <c r="F5" s="23" t="n">
        <f aca="false">(B5-E5)*100</f>
        <v>0</v>
      </c>
      <c r="G5" s="18" t="s">
        <v>91</v>
      </c>
    </row>
    <row r="6" customFormat="false" ht="15" hidden="false" customHeight="false" outlineLevel="0" collapsed="false">
      <c r="A6" s="13" t="n">
        <v>2012</v>
      </c>
      <c r="B6" s="15" t="n">
        <v>0.056</v>
      </c>
      <c r="C6" s="22" t="s">
        <v>87</v>
      </c>
      <c r="D6" s="19" t="b">
        <f aca="false">TRUE()</f>
        <v>1</v>
      </c>
      <c r="E6" s="15" t="n">
        <v>0.056</v>
      </c>
      <c r="F6" s="23" t="n">
        <f aca="false">(B6-E6)*100</f>
        <v>0</v>
      </c>
      <c r="G6" s="18" t="s">
        <v>92</v>
      </c>
    </row>
    <row r="7" customFormat="false" ht="15" hidden="false" customHeight="false" outlineLevel="0" collapsed="false">
      <c r="A7" s="13" t="n">
        <v>2013</v>
      </c>
      <c r="B7" s="21" t="n">
        <v>0.057</v>
      </c>
      <c r="C7" s="22" t="s">
        <v>87</v>
      </c>
      <c r="D7" s="19" t="b">
        <f aca="false">TRUE()</f>
        <v>1</v>
      </c>
      <c r="E7" s="15" t="n">
        <v>0.058</v>
      </c>
      <c r="F7" s="23" t="n">
        <f aca="false">(B7-E7)*100</f>
        <v>-0.1</v>
      </c>
      <c r="G7" s="18" t="s">
        <v>93</v>
      </c>
    </row>
    <row r="8" customFormat="false" ht="15" hidden="false" customHeight="false" outlineLevel="0" collapsed="false">
      <c r="A8" s="13" t="n">
        <v>2014</v>
      </c>
      <c r="B8" s="15" t="n">
        <v>0.061</v>
      </c>
      <c r="C8" s="22" t="s">
        <v>87</v>
      </c>
      <c r="D8" s="19" t="b">
        <f aca="false">TRUE()</f>
        <v>1</v>
      </c>
      <c r="E8" s="15" t="n">
        <v>0.061</v>
      </c>
      <c r="F8" s="23" t="n">
        <f aca="false">(B8-E8)*100</f>
        <v>0</v>
      </c>
      <c r="G8" s="18" t="s">
        <v>94</v>
      </c>
    </row>
    <row r="9" customFormat="false" ht="15" hidden="false" customHeight="false" outlineLevel="0" collapsed="false">
      <c r="A9" s="13" t="n">
        <v>2015</v>
      </c>
      <c r="B9" s="15" t="n">
        <v>0.046</v>
      </c>
      <c r="C9" s="22" t="s">
        <v>87</v>
      </c>
      <c r="D9" s="19" t="b">
        <f aca="false">TRUE()</f>
        <v>1</v>
      </c>
      <c r="E9" s="15" t="n">
        <v>0.046</v>
      </c>
      <c r="F9" s="23" t="n">
        <f aca="false">(B9-E9)*100</f>
        <v>0</v>
      </c>
      <c r="G9" s="18" t="s">
        <v>95</v>
      </c>
    </row>
    <row r="10" customFormat="false" ht="15" hidden="false" customHeight="false" outlineLevel="0" collapsed="false">
      <c r="A10" s="13" t="n">
        <v>2016</v>
      </c>
      <c r="B10" s="15" t="n">
        <v>0.064</v>
      </c>
      <c r="C10" s="22" t="s">
        <v>87</v>
      </c>
      <c r="D10" s="19" t="b">
        <f aca="false">TRUE()</f>
        <v>1</v>
      </c>
      <c r="E10" s="15" t="n">
        <v>0.064</v>
      </c>
      <c r="F10" s="23" t="n">
        <f aca="false">(B10-E10)*100</f>
        <v>0</v>
      </c>
      <c r="G10" s="18" t="s">
        <v>96</v>
      </c>
    </row>
    <row r="11" customFormat="false" ht="15" hidden="false" customHeight="false" outlineLevel="0" collapsed="false">
      <c r="A11" s="13" t="n">
        <v>2017</v>
      </c>
      <c r="B11" s="15" t="n">
        <v>0.053</v>
      </c>
      <c r="C11" s="22" t="s">
        <v>87</v>
      </c>
      <c r="D11" s="19" t="b">
        <f aca="false">TRUE()</f>
        <v>1</v>
      </c>
      <c r="E11" s="15" t="n">
        <v>0.053</v>
      </c>
      <c r="F11" s="23" t="n">
        <f aca="false">(B11-E11)*100</f>
        <v>0</v>
      </c>
      <c r="G11" s="18" t="s">
        <v>97</v>
      </c>
    </row>
    <row r="12" customFormat="false" ht="15" hidden="false" customHeight="false" outlineLevel="0" collapsed="false">
      <c r="A12" s="13" t="n">
        <v>2018</v>
      </c>
      <c r="B12" s="21" t="n">
        <v>0.047</v>
      </c>
      <c r="C12" s="22" t="s">
        <v>87</v>
      </c>
      <c r="D12" s="19" t="b">
        <f aca="false">TRUE()</f>
        <v>1</v>
      </c>
      <c r="E12" s="15" t="n">
        <v>0.046</v>
      </c>
      <c r="F12" s="23" t="n">
        <f aca="false">(B12-E12)*100</f>
        <v>0.1</v>
      </c>
      <c r="G12" s="18" t="s">
        <v>98</v>
      </c>
    </row>
    <row r="13" customFormat="false" ht="15" hidden="false" customHeight="false" outlineLevel="0" collapsed="false">
      <c r="A13" s="13" t="n">
        <v>2019</v>
      </c>
      <c r="B13" s="15" t="n">
        <v>0.041</v>
      </c>
      <c r="C13" s="22" t="s">
        <v>87</v>
      </c>
      <c r="D13" s="19" t="b">
        <f aca="false">TRUE()</f>
        <v>1</v>
      </c>
      <c r="E13" s="15" t="n">
        <v>0.041</v>
      </c>
      <c r="F13" s="23" t="n">
        <f aca="false">(B13-E13)*100</f>
        <v>0</v>
      </c>
      <c r="G13" s="18" t="s">
        <v>99</v>
      </c>
    </row>
    <row r="14" customFormat="false" ht="15" hidden="false" customHeight="false" outlineLevel="0" collapsed="false">
      <c r="A14" s="13" t="n">
        <v>2020</v>
      </c>
      <c r="B14" s="15" t="n">
        <v>0.033</v>
      </c>
      <c r="C14" s="22" t="s">
        <v>87</v>
      </c>
      <c r="D14" s="19" t="b">
        <f aca="false">TRUE()</f>
        <v>1</v>
      </c>
      <c r="E14" s="15" t="n">
        <v>0.033</v>
      </c>
      <c r="F14" s="23" t="n">
        <f aca="false">(B14-E14)*100</f>
        <v>0</v>
      </c>
      <c r="G14" s="18" t="s">
        <v>100</v>
      </c>
    </row>
    <row r="15" customFormat="false" ht="15" hidden="false" customHeight="false" outlineLevel="0" collapsed="false">
      <c r="A15" s="13" t="n">
        <v>2021</v>
      </c>
      <c r="B15" s="21" t="n">
        <v>0.045</v>
      </c>
      <c r="C15" s="22" t="s">
        <v>87</v>
      </c>
      <c r="D15" s="19" t="b">
        <f aca="false">TRUE()</f>
        <v>1</v>
      </c>
      <c r="E15" s="15" t="n">
        <v>0.046</v>
      </c>
      <c r="F15" s="23" t="n">
        <f aca="false">(B15-E15)*100</f>
        <v>-0.1</v>
      </c>
      <c r="G15" s="18" t="s">
        <v>101</v>
      </c>
    </row>
    <row r="16" customFormat="false" ht="15" hidden="false" customHeight="false" outlineLevel="0" collapsed="false">
      <c r="A16" s="13" t="n">
        <v>2022</v>
      </c>
      <c r="B16" s="15" t="n">
        <v>0.069</v>
      </c>
      <c r="C16" s="22" t="s">
        <v>87</v>
      </c>
      <c r="D16" s="19" t="b">
        <f aca="false">TRUE()</f>
        <v>1</v>
      </c>
      <c r="E16" s="15" t="n">
        <v>0.069</v>
      </c>
      <c r="F16" s="23" t="n">
        <f aca="false">(B16-E16)*100</f>
        <v>0</v>
      </c>
      <c r="G16" s="18" t="s">
        <v>102</v>
      </c>
    </row>
    <row r="17" customFormat="false" ht="15" hidden="false" customHeight="false" outlineLevel="0" collapsed="false">
      <c r="A17" s="13" t="n">
        <v>2023</v>
      </c>
      <c r="B17" s="15" t="n">
        <v>0.06</v>
      </c>
      <c r="C17" s="22" t="s">
        <v>87</v>
      </c>
      <c r="D17" s="19" t="b">
        <f aca="false">TRUE()</f>
        <v>1</v>
      </c>
      <c r="E17" s="15" t="n">
        <v>0.06</v>
      </c>
      <c r="F17" s="23" t="n">
        <f aca="false">(B17-E17)*100</f>
        <v>0</v>
      </c>
      <c r="G17" s="18" t="s">
        <v>103</v>
      </c>
    </row>
    <row r="18" customFormat="false" ht="15" hidden="false" customHeight="false" outlineLevel="0" collapsed="false">
      <c r="A18" s="13" t="n">
        <v>2024</v>
      </c>
      <c r="B18" s="15" t="n">
        <v>0.044</v>
      </c>
      <c r="C18" s="22" t="s">
        <v>87</v>
      </c>
      <c r="D18" s="19" t="b">
        <f aca="false">TRUE()</f>
        <v>1</v>
      </c>
      <c r="E18" s="15" t="n">
        <v>0.044</v>
      </c>
      <c r="F18" s="23" t="n">
        <f aca="false">(B18-E18)*100</f>
        <v>0</v>
      </c>
      <c r="G18" s="18" t="s">
        <v>104</v>
      </c>
    </row>
    <row r="19" customFormat="false" ht="15" hidden="false" customHeight="false" outlineLevel="0" collapsed="false">
      <c r="A19" s="13" t="n">
        <v>2025</v>
      </c>
      <c r="B19" s="15" t="n">
        <v>0.032</v>
      </c>
      <c r="C19" s="22" t="s">
        <v>87</v>
      </c>
      <c r="D19" s="19" t="b">
        <f aca="false">TRUE()</f>
        <v>1</v>
      </c>
      <c r="E19" s="15" t="n">
        <v>0.032</v>
      </c>
      <c r="F19" s="23" t="n">
        <f aca="false">(B19-E19)*100</f>
        <v>0</v>
      </c>
      <c r="G19" s="18" t="s">
        <v>105</v>
      </c>
    </row>
    <row r="20" customFormat="false" ht="23.85" hidden="false" customHeight="false" outlineLevel="0" collapsed="false">
      <c r="A20" s="13" t="n">
        <v>2026</v>
      </c>
      <c r="B20" s="21" t="n">
        <v>0.041</v>
      </c>
      <c r="C20" s="24" t="s">
        <v>106</v>
      </c>
      <c r="D20" s="25" t="b">
        <f aca="false">FALSE()</f>
        <v>0</v>
      </c>
      <c r="E20" s="15" t="n">
        <v>0.041</v>
      </c>
      <c r="F20" s="23" t="n">
        <f aca="false">(B20-E20)*100</f>
        <v>0</v>
      </c>
      <c r="G20" s="18" t="s">
        <v>107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70"/>
  </cols>
  <sheetData>
    <row r="1" customFormat="false" ht="15" hidden="false" customHeight="false" outlineLevel="0" collapsed="false">
      <c r="A1" s="3" t="s">
        <v>108</v>
      </c>
      <c r="B1" s="3" t="s">
        <v>19</v>
      </c>
      <c r="C1" s="4" t="s">
        <v>109</v>
      </c>
    </row>
    <row r="2" customFormat="false" ht="15" hidden="false" customHeight="false" outlineLevel="0" collapsed="false">
      <c r="A2" s="5" t="s">
        <v>110</v>
      </c>
      <c r="B2" s="26" t="n">
        <v>100</v>
      </c>
      <c r="C2" s="7" t="s">
        <v>111</v>
      </c>
    </row>
    <row r="3" customFormat="false" ht="23.85" hidden="false" customHeight="false" outlineLevel="0" collapsed="false">
      <c r="A3" s="5" t="s">
        <v>112</v>
      </c>
      <c r="B3" s="26" t="n">
        <v>2025</v>
      </c>
      <c r="C3" s="7" t="s">
        <v>113</v>
      </c>
    </row>
    <row r="4" customFormat="false" ht="23.85" hidden="false" customHeight="false" outlineLevel="0" collapsed="false">
      <c r="A4" s="5" t="s">
        <v>114</v>
      </c>
      <c r="B4" s="26" t="n">
        <v>0</v>
      </c>
      <c r="C4" s="7" t="s">
        <v>115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4"/>
    <col collapsed="false" customWidth="true" hidden="false" outlineLevel="0" max="5" min="5" style="0" width="16"/>
    <col collapsed="false" customWidth="true" hidden="false" outlineLevel="0" max="6" min="6" style="0" width="14"/>
    <col collapsed="false" customWidth="true" hidden="false" outlineLevel="0" max="8" min="7" style="0" width="13"/>
    <col collapsed="false" customWidth="true" hidden="false" outlineLevel="0" max="9" min="9" style="0" width="14"/>
  </cols>
  <sheetData>
    <row r="1" customFormat="false" ht="31.5" hidden="false" customHeight="true" outlineLevel="0" collapsed="false">
      <c r="A1" s="12" t="s">
        <v>37</v>
      </c>
      <c r="B1" s="12" t="s">
        <v>38</v>
      </c>
      <c r="C1" s="12" t="s">
        <v>116</v>
      </c>
      <c r="D1" s="12" t="s">
        <v>117</v>
      </c>
      <c r="E1" s="12" t="s">
        <v>118</v>
      </c>
      <c r="F1" s="12" t="s">
        <v>119</v>
      </c>
      <c r="G1" s="12" t="s">
        <v>120</v>
      </c>
      <c r="H1" s="12" t="s">
        <v>121</v>
      </c>
      <c r="I1" s="12" t="s">
        <v>122</v>
      </c>
    </row>
    <row r="2" customFormat="false" ht="15" hidden="false" customHeight="false" outlineLevel="0" collapsed="false">
      <c r="A2" s="27" t="n">
        <f aca="false">'Tariff increases'!A2</f>
        <v>2008</v>
      </c>
      <c r="B2" s="28" t="str">
        <f aca="false">'Tariff increases'!B2</f>
        <v>2008/09</v>
      </c>
      <c r="C2" s="29" t="n">
        <f aca="false">'Tariff increases'!C2</f>
        <v>0.275</v>
      </c>
      <c r="D2" s="29" t="n">
        <f aca="false">INDEX(CPI!$B$2:$B$20,MATCH(A2+Settings!$B$4,CPI!$A$2:$A$20,0))</f>
        <v>0.115</v>
      </c>
      <c r="E2" s="16" t="n">
        <f aca="false">(C2-D2)*100</f>
        <v>16</v>
      </c>
      <c r="F2" s="14" t="str">
        <f aca="false">IF(C2&gt;D2,"Yes","No")</f>
        <v>Yes</v>
      </c>
      <c r="G2" s="23" t="n">
        <f aca="false">Settings!$B$2*(1+C2)</f>
        <v>127.5</v>
      </c>
      <c r="H2" s="23" t="n">
        <f aca="false">Settings!$B$2*(1+D2)</f>
        <v>111.5</v>
      </c>
      <c r="I2" s="23" t="n">
        <f aca="false">G2/H2*Settings!$B$2</f>
        <v>114.349775784753</v>
      </c>
    </row>
    <row r="3" customFormat="false" ht="15" hidden="false" customHeight="false" outlineLevel="0" collapsed="false">
      <c r="A3" s="27" t="n">
        <f aca="false">'Tariff increases'!A3</f>
        <v>2009</v>
      </c>
      <c r="B3" s="28" t="str">
        <f aca="false">'Tariff increases'!B3</f>
        <v>2009/10</v>
      </c>
      <c r="C3" s="29" t="n">
        <f aca="false">'Tariff increases'!C3</f>
        <v>0.313</v>
      </c>
      <c r="D3" s="29" t="n">
        <f aca="false">INDEX(CPI!$B$2:$B$20,MATCH(A3+Settings!$B$4,CPI!$A$2:$A$20,0))</f>
        <v>0.071</v>
      </c>
      <c r="E3" s="16" t="n">
        <f aca="false">(C3-D3)*100</f>
        <v>24.2</v>
      </c>
      <c r="F3" s="14" t="str">
        <f aca="false">IF(C3&gt;D3,"Yes","No")</f>
        <v>Yes</v>
      </c>
      <c r="G3" s="23" t="n">
        <f aca="false">G2*(1+C3)</f>
        <v>167.4075</v>
      </c>
      <c r="H3" s="23" t="n">
        <f aca="false">H2*(1+D3)</f>
        <v>119.4165</v>
      </c>
      <c r="I3" s="23" t="n">
        <f aca="false">G3/H3*Settings!$B$2</f>
        <v>140.187913730515</v>
      </c>
    </row>
    <row r="4" customFormat="false" ht="15" hidden="false" customHeight="false" outlineLevel="0" collapsed="false">
      <c r="A4" s="27" t="n">
        <f aca="false">'Tariff increases'!A4</f>
        <v>2010</v>
      </c>
      <c r="B4" s="28" t="str">
        <f aca="false">'Tariff increases'!B4</f>
        <v>2010/11</v>
      </c>
      <c r="C4" s="29" t="n">
        <f aca="false">'Tariff increases'!C4</f>
        <v>0.248</v>
      </c>
      <c r="D4" s="29" t="n">
        <f aca="false">INDEX(CPI!$B$2:$B$20,MATCH(A4+Settings!$B$4,CPI!$A$2:$A$20,0))</f>
        <v>0.043</v>
      </c>
      <c r="E4" s="16" t="n">
        <f aca="false">(C4-D4)*100</f>
        <v>20.5</v>
      </c>
      <c r="F4" s="14" t="str">
        <f aca="false">IF(C4&gt;D4,"Yes","No")</f>
        <v>Yes</v>
      </c>
      <c r="G4" s="23" t="n">
        <f aca="false">G3*(1+C4)</f>
        <v>208.92456</v>
      </c>
      <c r="H4" s="23" t="n">
        <f aca="false">H3*(1+D4)</f>
        <v>124.5514095</v>
      </c>
      <c r="I4" s="23" t="n">
        <f aca="false">G4/H4*Settings!$B$2</f>
        <v>167.741626400462</v>
      </c>
    </row>
    <row r="5" customFormat="false" ht="15" hidden="false" customHeight="false" outlineLevel="0" collapsed="false">
      <c r="A5" s="27" t="n">
        <f aca="false">'Tariff increases'!A5</f>
        <v>2011</v>
      </c>
      <c r="B5" s="28" t="str">
        <f aca="false">'Tariff increases'!B5</f>
        <v>2011/12</v>
      </c>
      <c r="C5" s="29" t="n">
        <f aca="false">'Tariff increases'!C5</f>
        <v>0.258</v>
      </c>
      <c r="D5" s="29" t="n">
        <f aca="false">INDEX(CPI!$B$2:$B$20,MATCH(A5+Settings!$B$4,CPI!$A$2:$A$20,0))</f>
        <v>0.05</v>
      </c>
      <c r="E5" s="16" t="n">
        <f aca="false">(C5-D5)*100</f>
        <v>20.8</v>
      </c>
      <c r="F5" s="14" t="str">
        <f aca="false">IF(C5&gt;D5,"Yes","No")</f>
        <v>Yes</v>
      </c>
      <c r="G5" s="23" t="n">
        <f aca="false">G4*(1+C5)</f>
        <v>262.82709648</v>
      </c>
      <c r="H5" s="23" t="n">
        <f aca="false">H4*(1+D5)</f>
        <v>130.778979975</v>
      </c>
      <c r="I5" s="23" t="n">
        <f aca="false">G5/H5*Settings!$B$2</f>
        <v>200.970443820744</v>
      </c>
    </row>
    <row r="6" customFormat="false" ht="15" hidden="false" customHeight="false" outlineLevel="0" collapsed="false">
      <c r="A6" s="27" t="n">
        <f aca="false">'Tariff increases'!A6</f>
        <v>2012</v>
      </c>
      <c r="B6" s="28" t="str">
        <f aca="false">'Tariff increases'!B6</f>
        <v>2012/13</v>
      </c>
      <c r="C6" s="29" t="n">
        <f aca="false">'Tariff increases'!C6</f>
        <v>0.16</v>
      </c>
      <c r="D6" s="29" t="n">
        <f aca="false">INDEX(CPI!$B$2:$B$20,MATCH(A6+Settings!$B$4,CPI!$A$2:$A$20,0))</f>
        <v>0.056</v>
      </c>
      <c r="E6" s="16" t="n">
        <f aca="false">(C6-D6)*100</f>
        <v>10.4</v>
      </c>
      <c r="F6" s="14" t="str">
        <f aca="false">IF(C6&gt;D6,"Yes","No")</f>
        <v>Yes</v>
      </c>
      <c r="G6" s="23" t="n">
        <f aca="false">G5*(1+C6)</f>
        <v>304.8794319168</v>
      </c>
      <c r="H6" s="23" t="n">
        <f aca="false">H5*(1+D6)</f>
        <v>138.1026028536</v>
      </c>
      <c r="I6" s="23" t="n">
        <f aca="false">G6/H6*Settings!$B$2</f>
        <v>220.762987530363</v>
      </c>
    </row>
    <row r="7" customFormat="false" ht="15" hidden="false" customHeight="false" outlineLevel="0" collapsed="false">
      <c r="A7" s="27" t="n">
        <f aca="false">'Tariff increases'!A7</f>
        <v>2013</v>
      </c>
      <c r="B7" s="28" t="str">
        <f aca="false">'Tariff increases'!B7</f>
        <v>2013/14</v>
      </c>
      <c r="C7" s="29" t="n">
        <f aca="false">'Tariff increases'!C7</f>
        <v>0.08</v>
      </c>
      <c r="D7" s="29" t="n">
        <f aca="false">INDEX(CPI!$B$2:$B$20,MATCH(A7+Settings!$B$4,CPI!$A$2:$A$20,0))</f>
        <v>0.057</v>
      </c>
      <c r="E7" s="16" t="n">
        <f aca="false">(C7-D7)*100</f>
        <v>2.3</v>
      </c>
      <c r="F7" s="14" t="str">
        <f aca="false">IF(C7&gt;D7,"Yes","No")</f>
        <v>Yes</v>
      </c>
      <c r="G7" s="23" t="n">
        <f aca="false">G6*(1+C7)</f>
        <v>329.269786470144</v>
      </c>
      <c r="H7" s="23" t="n">
        <f aca="false">H6*(1+D7)</f>
        <v>145.974451216255</v>
      </c>
      <c r="I7" s="23" t="n">
        <f aca="false">G7/H7*Settings!$B$2</f>
        <v>225.566723304439</v>
      </c>
    </row>
    <row r="8" customFormat="false" ht="15" hidden="false" customHeight="false" outlineLevel="0" collapsed="false">
      <c r="A8" s="27" t="n">
        <f aca="false">'Tariff increases'!A8</f>
        <v>2014</v>
      </c>
      <c r="B8" s="28" t="str">
        <f aca="false">'Tariff increases'!B8</f>
        <v>2014/15</v>
      </c>
      <c r="C8" s="29" t="n">
        <f aca="false">'Tariff increases'!C8</f>
        <v>0.08</v>
      </c>
      <c r="D8" s="29" t="n">
        <f aca="false">INDEX(CPI!$B$2:$B$20,MATCH(A8+Settings!$B$4,CPI!$A$2:$A$20,0))</f>
        <v>0.061</v>
      </c>
      <c r="E8" s="16" t="n">
        <f aca="false">(C8-D8)*100</f>
        <v>1.9</v>
      </c>
      <c r="F8" s="14" t="str">
        <f aca="false">IF(C8&gt;D8,"Yes","No")</f>
        <v>Yes</v>
      </c>
      <c r="G8" s="23" t="n">
        <f aca="false">G7*(1+C8)</f>
        <v>355.611369387756</v>
      </c>
      <c r="H8" s="23" t="n">
        <f aca="false">H7*(1+D8)</f>
        <v>154.878892740447</v>
      </c>
      <c r="I8" s="23" t="n">
        <f aca="false">G8/H8*Settings!$B$2</f>
        <v>229.606089697261</v>
      </c>
    </row>
    <row r="9" customFormat="false" ht="15" hidden="false" customHeight="false" outlineLevel="0" collapsed="false">
      <c r="A9" s="27" t="n">
        <f aca="false">'Tariff increases'!A9</f>
        <v>2015</v>
      </c>
      <c r="B9" s="28" t="str">
        <f aca="false">'Tariff increases'!B9</f>
        <v>2015/16</v>
      </c>
      <c r="C9" s="29" t="n">
        <f aca="false">'Tariff increases'!C9</f>
        <v>0.1269</v>
      </c>
      <c r="D9" s="29" t="n">
        <f aca="false">INDEX(CPI!$B$2:$B$20,MATCH(A9+Settings!$B$4,CPI!$A$2:$A$20,0))</f>
        <v>0.046</v>
      </c>
      <c r="E9" s="16" t="n">
        <f aca="false">(C9-D9)*100</f>
        <v>8.09</v>
      </c>
      <c r="F9" s="14" t="str">
        <f aca="false">IF(C9&gt;D9,"Yes","No")</f>
        <v>Yes</v>
      </c>
      <c r="G9" s="23" t="n">
        <f aca="false">G8*(1+C9)</f>
        <v>400.738452163062</v>
      </c>
      <c r="H9" s="23" t="n">
        <f aca="false">H8*(1+D9)</f>
        <v>162.003321806507</v>
      </c>
      <c r="I9" s="23" t="n">
        <f aca="false">G9/H9*Settings!$B$2</f>
        <v>247.364342714956</v>
      </c>
    </row>
    <row r="10" customFormat="false" ht="15" hidden="false" customHeight="false" outlineLevel="0" collapsed="false">
      <c r="A10" s="27" t="n">
        <f aca="false">'Tariff increases'!A10</f>
        <v>2016</v>
      </c>
      <c r="B10" s="28" t="str">
        <f aca="false">'Tariff increases'!B10</f>
        <v>2016/17</v>
      </c>
      <c r="C10" s="29" t="n">
        <f aca="false">'Tariff increases'!C10</f>
        <v>0.094</v>
      </c>
      <c r="D10" s="29" t="n">
        <f aca="false">INDEX(CPI!$B$2:$B$20,MATCH(A10+Settings!$B$4,CPI!$A$2:$A$20,0))</f>
        <v>0.064</v>
      </c>
      <c r="E10" s="16" t="n">
        <f aca="false">(C10-D10)*100</f>
        <v>3</v>
      </c>
      <c r="F10" s="14" t="str">
        <f aca="false">IF(C10&gt;D10,"Yes","No")</f>
        <v>Yes</v>
      </c>
      <c r="G10" s="23" t="n">
        <f aca="false">G9*(1+C10)</f>
        <v>438.40786666639</v>
      </c>
      <c r="H10" s="23" t="n">
        <f aca="false">H9*(1+D10)</f>
        <v>172.371534402124</v>
      </c>
      <c r="I10" s="23" t="n">
        <f aca="false">G10/H10*Settings!$B$2</f>
        <v>254.338901250152</v>
      </c>
    </row>
    <row r="11" customFormat="false" ht="15" hidden="false" customHeight="false" outlineLevel="0" collapsed="false">
      <c r="A11" s="27" t="n">
        <f aca="false">'Tariff increases'!A11</f>
        <v>2017</v>
      </c>
      <c r="B11" s="28" t="str">
        <f aca="false">'Tariff increases'!B11</f>
        <v>2017/18</v>
      </c>
      <c r="C11" s="29" t="n">
        <f aca="false">'Tariff increases'!C11</f>
        <v>0.022</v>
      </c>
      <c r="D11" s="29" t="n">
        <f aca="false">INDEX(CPI!$B$2:$B$20,MATCH(A11+Settings!$B$4,CPI!$A$2:$A$20,0))</f>
        <v>0.053</v>
      </c>
      <c r="E11" s="16" t="n">
        <f aca="false">(C11-D11)*100</f>
        <v>-3.1</v>
      </c>
      <c r="F11" s="14" t="str">
        <f aca="false">IF(C11&gt;D11,"Yes","No")</f>
        <v>No</v>
      </c>
      <c r="G11" s="23" t="n">
        <f aca="false">G10*(1+C11)</f>
        <v>448.05283973305</v>
      </c>
      <c r="H11" s="23" t="n">
        <f aca="false">H10*(1+D11)</f>
        <v>181.507225725436</v>
      </c>
      <c r="I11" s="23" t="n">
        <f aca="false">G11/H11*Settings!$B$2</f>
        <v>246.851241289321</v>
      </c>
    </row>
    <row r="12" customFormat="false" ht="15" hidden="false" customHeight="false" outlineLevel="0" collapsed="false">
      <c r="A12" s="27" t="n">
        <f aca="false">'Tariff increases'!A12</f>
        <v>2018</v>
      </c>
      <c r="B12" s="28" t="str">
        <f aca="false">'Tariff increases'!B12</f>
        <v>2018/19</v>
      </c>
      <c r="C12" s="29" t="n">
        <f aca="false">'Tariff increases'!C12</f>
        <v>0.0523</v>
      </c>
      <c r="D12" s="29" t="n">
        <f aca="false">INDEX(CPI!$B$2:$B$20,MATCH(A12+Settings!$B$4,CPI!$A$2:$A$20,0))</f>
        <v>0.047</v>
      </c>
      <c r="E12" s="16" t="n">
        <f aca="false">(C12-D12)*100</f>
        <v>0.53</v>
      </c>
      <c r="F12" s="14" t="str">
        <f aca="false">IF(C12&gt;D12,"Yes","No")</f>
        <v>Yes</v>
      </c>
      <c r="G12" s="23" t="n">
        <f aca="false">G11*(1+C12)</f>
        <v>471.486003251089</v>
      </c>
      <c r="H12" s="23" t="n">
        <f aca="false">H11*(1+D12)</f>
        <v>190.038065334532</v>
      </c>
      <c r="I12" s="23" t="n">
        <f aca="false">G12/H12*Settings!$B$2</f>
        <v>248.100822548952</v>
      </c>
    </row>
    <row r="13" customFormat="false" ht="15" hidden="false" customHeight="false" outlineLevel="0" collapsed="false">
      <c r="A13" s="27" t="n">
        <f aca="false">'Tariff increases'!A13</f>
        <v>2019</v>
      </c>
      <c r="B13" s="28" t="str">
        <f aca="false">'Tariff increases'!B13</f>
        <v>2019/20</v>
      </c>
      <c r="C13" s="29" t="n">
        <f aca="false">'Tariff increases'!C13</f>
        <v>0.094</v>
      </c>
      <c r="D13" s="29" t="n">
        <f aca="false">INDEX(CPI!$B$2:$B$20,MATCH(A13+Settings!$B$4,CPI!$A$2:$A$20,0))</f>
        <v>0.041</v>
      </c>
      <c r="E13" s="16" t="n">
        <f aca="false">(C13-D13)*100</f>
        <v>5.3</v>
      </c>
      <c r="F13" s="14" t="str">
        <f aca="false">IF(C13&gt;D13,"Yes","No")</f>
        <v>Yes</v>
      </c>
      <c r="G13" s="23" t="n">
        <f aca="false">G12*(1+C13)</f>
        <v>515.805687556691</v>
      </c>
      <c r="H13" s="23" t="n">
        <f aca="false">H12*(1+D13)</f>
        <v>197.829626013248</v>
      </c>
      <c r="I13" s="23" t="n">
        <f aca="false">G13/H13*Settings!$B$2</f>
        <v>260.732276530791</v>
      </c>
    </row>
    <row r="14" customFormat="false" ht="15" hidden="false" customHeight="false" outlineLevel="0" collapsed="false">
      <c r="A14" s="27" t="n">
        <f aca="false">'Tariff increases'!A14</f>
        <v>2020</v>
      </c>
      <c r="B14" s="28" t="str">
        <f aca="false">'Tariff increases'!B14</f>
        <v>2020/21</v>
      </c>
      <c r="C14" s="29" t="n">
        <f aca="false">'Tariff increases'!C14</f>
        <v>0.069</v>
      </c>
      <c r="D14" s="29" t="n">
        <f aca="false">INDEX(CPI!$B$2:$B$20,MATCH(A14+Settings!$B$4,CPI!$A$2:$A$20,0))</f>
        <v>0.033</v>
      </c>
      <c r="E14" s="16" t="n">
        <f aca="false">(C14-D14)*100</f>
        <v>3.6</v>
      </c>
      <c r="F14" s="14" t="str">
        <f aca="false">IF(C14&gt;D14,"Yes","No")</f>
        <v>Yes</v>
      </c>
      <c r="G14" s="23" t="n">
        <f aca="false">G13*(1+C14)</f>
        <v>551.396279998103</v>
      </c>
      <c r="H14" s="23" t="n">
        <f aca="false">H13*(1+D14)</f>
        <v>204.358003671685</v>
      </c>
      <c r="I14" s="23" t="n">
        <f aca="false">G14/H14*Settings!$B$2</f>
        <v>269.81878374774</v>
      </c>
    </row>
    <row r="15" customFormat="false" ht="15" hidden="false" customHeight="false" outlineLevel="0" collapsed="false">
      <c r="A15" s="27" t="n">
        <f aca="false">'Tariff increases'!A15</f>
        <v>2021</v>
      </c>
      <c r="B15" s="28" t="str">
        <f aca="false">'Tariff increases'!B15</f>
        <v>2021/22</v>
      </c>
      <c r="C15" s="29" t="n">
        <f aca="false">'Tariff increases'!C15</f>
        <v>0.1563</v>
      </c>
      <c r="D15" s="29" t="n">
        <f aca="false">INDEX(CPI!$B$2:$B$20,MATCH(A15+Settings!$B$4,CPI!$A$2:$A$20,0))</f>
        <v>0.045</v>
      </c>
      <c r="E15" s="16" t="n">
        <f aca="false">(C15-D15)*100</f>
        <v>11.13</v>
      </c>
      <c r="F15" s="14" t="str">
        <f aca="false">IF(C15&gt;D15,"Yes","No")</f>
        <v>Yes</v>
      </c>
      <c r="G15" s="23" t="n">
        <f aca="false">G14*(1+C15)</f>
        <v>637.579518561806</v>
      </c>
      <c r="H15" s="23" t="n">
        <f aca="false">H14*(1+D15)</f>
        <v>213.554113836911</v>
      </c>
      <c r="I15" s="23" t="n">
        <f aca="false">G15/H15*Settings!$B$2</f>
        <v>298.556420715323</v>
      </c>
    </row>
    <row r="16" customFormat="false" ht="15" hidden="false" customHeight="false" outlineLevel="0" collapsed="false">
      <c r="A16" s="27" t="n">
        <f aca="false">'Tariff increases'!A16</f>
        <v>2022</v>
      </c>
      <c r="B16" s="28" t="str">
        <f aca="false">'Tariff increases'!B16</f>
        <v>2022/23</v>
      </c>
      <c r="C16" s="29" t="n">
        <f aca="false">'Tariff increases'!C16</f>
        <v>0.0961</v>
      </c>
      <c r="D16" s="29" t="n">
        <f aca="false">INDEX(CPI!$B$2:$B$20,MATCH(A16+Settings!$B$4,CPI!$A$2:$A$20,0))</f>
        <v>0.069</v>
      </c>
      <c r="E16" s="16" t="n">
        <f aca="false">(C16-D16)*100</f>
        <v>2.71</v>
      </c>
      <c r="F16" s="14" t="str">
        <f aca="false">IF(C16&gt;D16,"Yes","No")</f>
        <v>Yes</v>
      </c>
      <c r="G16" s="23" t="n">
        <f aca="false">G15*(1+C16)</f>
        <v>698.850910295596</v>
      </c>
      <c r="H16" s="23" t="n">
        <f aca="false">H15*(1+D16)</f>
        <v>228.289347691657</v>
      </c>
      <c r="I16" s="23" t="n">
        <f aca="false">G16/H16*Settings!$B$2</f>
        <v>306.125063373307</v>
      </c>
    </row>
    <row r="17" customFormat="false" ht="15" hidden="false" customHeight="false" outlineLevel="0" collapsed="false">
      <c r="A17" s="27" t="n">
        <f aca="false">'Tariff increases'!A17</f>
        <v>2023</v>
      </c>
      <c r="B17" s="28" t="str">
        <f aca="false">'Tariff increases'!B17</f>
        <v>2023/24</v>
      </c>
      <c r="C17" s="29" t="n">
        <f aca="false">'Tariff increases'!C17</f>
        <v>0.1865</v>
      </c>
      <c r="D17" s="29" t="n">
        <f aca="false">INDEX(CPI!$B$2:$B$20,MATCH(A17+Settings!$B$4,CPI!$A$2:$A$20,0))</f>
        <v>0.06</v>
      </c>
      <c r="E17" s="16" t="n">
        <f aca="false">(C17-D17)*100</f>
        <v>12.65</v>
      </c>
      <c r="F17" s="14" t="str">
        <f aca="false">IF(C17&gt;D17,"Yes","No")</f>
        <v>Yes</v>
      </c>
      <c r="G17" s="23" t="n">
        <f aca="false">G16*(1+C17)</f>
        <v>829.186605065725</v>
      </c>
      <c r="H17" s="23" t="n">
        <f aca="false">H16*(1+D17)</f>
        <v>241.986708553157</v>
      </c>
      <c r="I17" s="23" t="n">
        <f aca="false">G17/H17*Settings!$B$2</f>
        <v>342.657912917386</v>
      </c>
    </row>
    <row r="18" customFormat="false" ht="15" hidden="false" customHeight="false" outlineLevel="0" collapsed="false">
      <c r="A18" s="27" t="n">
        <f aca="false">'Tariff increases'!A18</f>
        <v>2024</v>
      </c>
      <c r="B18" s="28" t="str">
        <f aca="false">'Tariff increases'!B18</f>
        <v>2024/25</v>
      </c>
      <c r="C18" s="29" t="n">
        <f aca="false">'Tariff increases'!C18</f>
        <v>0.1274</v>
      </c>
      <c r="D18" s="29" t="n">
        <f aca="false">INDEX(CPI!$B$2:$B$20,MATCH(A18+Settings!$B$4,CPI!$A$2:$A$20,0))</f>
        <v>0.044</v>
      </c>
      <c r="E18" s="16" t="n">
        <f aca="false">(C18-D18)*100</f>
        <v>8.34</v>
      </c>
      <c r="F18" s="14" t="str">
        <f aca="false">IF(C18&gt;D18,"Yes","No")</f>
        <v>Yes</v>
      </c>
      <c r="G18" s="23" t="n">
        <f aca="false">G17*(1+C18)</f>
        <v>934.824978551098</v>
      </c>
      <c r="H18" s="23" t="n">
        <f aca="false">H17*(1+D18)</f>
        <v>252.634123729496</v>
      </c>
      <c r="I18" s="23" t="n">
        <f aca="false">G18/H18*Settings!$B$2</f>
        <v>370.031159983775</v>
      </c>
    </row>
    <row r="19" customFormat="false" ht="15" hidden="false" customHeight="false" outlineLevel="0" collapsed="false">
      <c r="A19" s="27" t="n">
        <f aca="false">'Tariff increases'!A19</f>
        <v>2025</v>
      </c>
      <c r="B19" s="28" t="str">
        <f aca="false">'Tariff increases'!B19</f>
        <v>2025/26</v>
      </c>
      <c r="C19" s="29" t="n">
        <f aca="false">'Tariff increases'!C19</f>
        <v>0.1274</v>
      </c>
      <c r="D19" s="29" t="n">
        <f aca="false">INDEX(CPI!$B$2:$B$20,MATCH(A19+Settings!$B$4,CPI!$A$2:$A$20,0))</f>
        <v>0.032</v>
      </c>
      <c r="E19" s="16" t="n">
        <f aca="false">(C19-D19)*100</f>
        <v>9.54</v>
      </c>
      <c r="F19" s="14" t="str">
        <f aca="false">IF(C19&gt;D19,"Yes","No")</f>
        <v>Yes</v>
      </c>
      <c r="G19" s="23" t="n">
        <f aca="false">G18*(1+C19)</f>
        <v>1053.92168081851</v>
      </c>
      <c r="H19" s="23" t="n">
        <f aca="false">H18*(1+D19)</f>
        <v>260.71841568884</v>
      </c>
      <c r="I19" s="23" t="n">
        <f aca="false">G19/H19*Settings!$B$2</f>
        <v>404.23752884274</v>
      </c>
    </row>
    <row r="21" customFormat="false" ht="15" hidden="false" customHeight="false" outlineLevel="0" collapsed="false">
      <c r="A21" s="30" t="s">
        <v>123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5" min="2" style="0" width="16"/>
    <col collapsed="false" customWidth="true" hidden="false" outlineLevel="0" max="7" min="6" style="0" width="20"/>
    <col collapsed="false" customWidth="true" hidden="false" outlineLevel="0" max="8" min="8" style="0" width="12"/>
  </cols>
  <sheetData>
    <row r="1" customFormat="false" ht="31.5" hidden="false" customHeight="true" outlineLevel="0" collapsed="false">
      <c r="A1" s="12" t="s">
        <v>37</v>
      </c>
      <c r="B1" s="12" t="s">
        <v>42</v>
      </c>
      <c r="C1" s="12" t="s">
        <v>124</v>
      </c>
      <c r="D1" s="12" t="s">
        <v>125</v>
      </c>
      <c r="E1" s="12" t="s">
        <v>126</v>
      </c>
      <c r="F1" s="12" t="s">
        <v>127</v>
      </c>
      <c r="G1" s="12" t="s">
        <v>128</v>
      </c>
      <c r="H1" s="12" t="s">
        <v>129</v>
      </c>
    </row>
    <row r="2" customFormat="false" ht="15" hidden="false" customHeight="false" outlineLevel="0" collapsed="false">
      <c r="A2" s="27" t="n">
        <f aca="false">'Tariff increases'!A3</f>
        <v>2009</v>
      </c>
      <c r="B2" s="31" t="n">
        <f aca="false">'Tariff increases'!F3</f>
        <v>33</v>
      </c>
      <c r="C2" s="31" t="n">
        <f aca="false">'Tariff increases'!F2</f>
        <v>25</v>
      </c>
      <c r="D2" s="29" t="n">
        <f aca="false">'Tariff increases'!C3</f>
        <v>0.313</v>
      </c>
      <c r="E2" s="32" t="n">
        <f aca="false">B2/C2-1</f>
        <v>0.32</v>
      </c>
      <c r="F2" s="32" t="n">
        <f aca="false">(B2-0.5)/(C2+0.5)-1</f>
        <v>0.274509803921569</v>
      </c>
      <c r="G2" s="32" t="n">
        <f aca="false">(B2+0.5)/(C2-0.5)-1</f>
        <v>0.36734693877551</v>
      </c>
      <c r="H2" s="14" t="str">
        <f aca="false">IF(AND(D2&gt;=F2,D2&lt;=G2),"OK","CHECK")</f>
        <v>OK</v>
      </c>
    </row>
    <row r="3" customFormat="false" ht="15" hidden="false" customHeight="false" outlineLevel="0" collapsed="false">
      <c r="A3" s="27" t="n">
        <f aca="false">'Tariff increases'!A4</f>
        <v>2010</v>
      </c>
      <c r="B3" s="31" t="n">
        <f aca="false">'Tariff increases'!F4</f>
        <v>41</v>
      </c>
      <c r="C3" s="31" t="n">
        <f aca="false">'Tariff increases'!F3</f>
        <v>33</v>
      </c>
      <c r="D3" s="29" t="n">
        <f aca="false">'Tariff increases'!C4</f>
        <v>0.248</v>
      </c>
      <c r="E3" s="32" t="n">
        <f aca="false">B3/C3-1</f>
        <v>0.242424242424242</v>
      </c>
      <c r="F3" s="32" t="n">
        <f aca="false">(B3-0.5)/(C3+0.5)-1</f>
        <v>0.208955223880597</v>
      </c>
      <c r="G3" s="32" t="n">
        <f aca="false">(B3+0.5)/(C3-0.5)-1</f>
        <v>0.276923076923077</v>
      </c>
      <c r="H3" s="14" t="str">
        <f aca="false">IF(AND(D3&gt;=F3,D3&lt;=G3),"OK","CHECK")</f>
        <v>OK</v>
      </c>
    </row>
    <row r="4" customFormat="false" ht="15" hidden="false" customHeight="false" outlineLevel="0" collapsed="false">
      <c r="A4" s="27" t="n">
        <f aca="false">'Tariff increases'!A5</f>
        <v>2011</v>
      </c>
      <c r="B4" s="31" t="n">
        <f aca="false">'Tariff increases'!F5</f>
        <v>52</v>
      </c>
      <c r="C4" s="31" t="n">
        <f aca="false">'Tariff increases'!F4</f>
        <v>41</v>
      </c>
      <c r="D4" s="29" t="n">
        <f aca="false">'Tariff increases'!C5</f>
        <v>0.258</v>
      </c>
      <c r="E4" s="32" t="n">
        <f aca="false">B4/C4-1</f>
        <v>0.268292682926829</v>
      </c>
      <c r="F4" s="32" t="n">
        <f aca="false">(B4-0.5)/(C4+0.5)-1</f>
        <v>0.240963855421687</v>
      </c>
      <c r="G4" s="32" t="n">
        <f aca="false">(B4+0.5)/(C4-0.5)-1</f>
        <v>0.296296296296296</v>
      </c>
      <c r="H4" s="14" t="str">
        <f aca="false">IF(AND(D4&gt;=F4,D4&lt;=G4),"OK","CHECK")</f>
        <v>OK</v>
      </c>
    </row>
    <row r="5" customFormat="false" ht="15" hidden="false" customHeight="false" outlineLevel="0" collapsed="false">
      <c r="A5" s="27" t="n">
        <f aca="false">'Tariff increases'!A6</f>
        <v>2012</v>
      </c>
      <c r="B5" s="31" t="n">
        <f aca="false">'Tariff increases'!F6</f>
        <v>60</v>
      </c>
      <c r="C5" s="31" t="n">
        <f aca="false">'Tariff increases'!F5</f>
        <v>52</v>
      </c>
      <c r="D5" s="29" t="n">
        <f aca="false">'Tariff increases'!C6</f>
        <v>0.16</v>
      </c>
      <c r="E5" s="32" t="n">
        <f aca="false">B5/C5-1</f>
        <v>0.153846153846154</v>
      </c>
      <c r="F5" s="32" t="n">
        <f aca="false">(B5-0.5)/(C5+0.5)-1</f>
        <v>0.133333333333333</v>
      </c>
      <c r="G5" s="32" t="n">
        <f aca="false">(B5+0.5)/(C5-0.5)-1</f>
        <v>0.174757281553398</v>
      </c>
      <c r="H5" s="14" t="str">
        <f aca="false">IF(AND(D5&gt;=F5,D5&lt;=G5),"OK","CHECK")</f>
        <v>OK</v>
      </c>
    </row>
    <row r="6" customFormat="false" ht="15" hidden="false" customHeight="false" outlineLevel="0" collapsed="false">
      <c r="A6" s="27" t="n">
        <f aca="false">'Tariff increases'!A7</f>
        <v>2013</v>
      </c>
      <c r="B6" s="31" t="n">
        <f aca="false">'Tariff increases'!F7</f>
        <v>65</v>
      </c>
      <c r="C6" s="31" t="n">
        <f aca="false">'Tariff increases'!F6</f>
        <v>60</v>
      </c>
      <c r="D6" s="29" t="n">
        <f aca="false">'Tariff increases'!C7</f>
        <v>0.08</v>
      </c>
      <c r="E6" s="32" t="n">
        <f aca="false">B6/C6-1</f>
        <v>0.0833333333333333</v>
      </c>
      <c r="F6" s="32" t="n">
        <f aca="false">(B6-0.5)/(C6+0.5)-1</f>
        <v>0.0661157024793388</v>
      </c>
      <c r="G6" s="32" t="n">
        <f aca="false">(B6+0.5)/(C6-0.5)-1</f>
        <v>0.100840336134454</v>
      </c>
      <c r="H6" s="14" t="str">
        <f aca="false">IF(AND(D6&gt;=F6,D6&lt;=G6),"OK","CHECK")</f>
        <v>OK</v>
      </c>
    </row>
    <row r="7" customFormat="false" ht="15" hidden="false" customHeight="false" outlineLevel="0" collapsed="false">
      <c r="A7" s="27" t="n">
        <f aca="false">'Tariff increases'!A8</f>
        <v>2014</v>
      </c>
      <c r="B7" s="31" t="n">
        <f aca="false">'Tariff increases'!F8</f>
        <v>70</v>
      </c>
      <c r="C7" s="31" t="n">
        <f aca="false">'Tariff increases'!F7</f>
        <v>65</v>
      </c>
      <c r="D7" s="29" t="n">
        <f aca="false">'Tariff increases'!C8</f>
        <v>0.08</v>
      </c>
      <c r="E7" s="32" t="n">
        <f aca="false">B7/C7-1</f>
        <v>0.0769230769230769</v>
      </c>
      <c r="F7" s="32" t="n">
        <f aca="false">(B7-0.5)/(C7+0.5)-1</f>
        <v>0.0610687022900764</v>
      </c>
      <c r="G7" s="32" t="n">
        <f aca="false">(B7+0.5)/(C7-0.5)-1</f>
        <v>0.0930232558139534</v>
      </c>
      <c r="H7" s="14" t="str">
        <f aca="false">IF(AND(D7&gt;=F7,D7&lt;=G7),"OK","CHECK")</f>
        <v>OK</v>
      </c>
    </row>
    <row r="8" customFormat="false" ht="15" hidden="false" customHeight="false" outlineLevel="0" collapsed="false">
      <c r="A8" s="27" t="n">
        <f aca="false">'Tariff increases'!A9</f>
        <v>2015</v>
      </c>
      <c r="B8" s="31" t="n">
        <f aca="false">'Tariff increases'!F9</f>
        <v>79</v>
      </c>
      <c r="C8" s="31" t="n">
        <f aca="false">'Tariff increases'!F8</f>
        <v>70</v>
      </c>
      <c r="D8" s="29" t="n">
        <f aca="false">'Tariff increases'!C9</f>
        <v>0.1269</v>
      </c>
      <c r="E8" s="32" t="n">
        <f aca="false">B8/C8-1</f>
        <v>0.128571428571429</v>
      </c>
      <c r="F8" s="32" t="n">
        <f aca="false">(B8-0.5)/(C8+0.5)-1</f>
        <v>0.113475177304964</v>
      </c>
      <c r="G8" s="32" t="n">
        <f aca="false">(B8+0.5)/(C8-0.5)-1</f>
        <v>0.143884892086331</v>
      </c>
      <c r="H8" s="14" t="str">
        <f aca="false">IF(AND(D8&gt;=F8,D8&lt;=G8),"OK","CHECK")</f>
        <v>OK</v>
      </c>
    </row>
    <row r="9" customFormat="false" ht="15" hidden="false" customHeight="false" outlineLevel="0" collapsed="false">
      <c r="A9" s="27" t="n">
        <f aca="false">'Tariff increases'!A10</f>
        <v>2016</v>
      </c>
      <c r="B9" s="31" t="n">
        <f aca="false">'Tariff increases'!F10</f>
        <v>86</v>
      </c>
      <c r="C9" s="31" t="n">
        <f aca="false">'Tariff increases'!F9</f>
        <v>79</v>
      </c>
      <c r="D9" s="29" t="n">
        <f aca="false">'Tariff increases'!C10</f>
        <v>0.094</v>
      </c>
      <c r="E9" s="32" t="n">
        <f aca="false">B9/C9-1</f>
        <v>0.0886075949367089</v>
      </c>
      <c r="F9" s="32" t="n">
        <f aca="false">(B9-0.5)/(C9+0.5)-1</f>
        <v>0.0754716981132075</v>
      </c>
      <c r="G9" s="32" t="n">
        <f aca="false">(B9+0.5)/(C9-0.5)-1</f>
        <v>0.101910828025478</v>
      </c>
      <c r="H9" s="14" t="str">
        <f aca="false">IF(AND(D9&gt;=F9,D9&lt;=G9),"OK","CHECK")</f>
        <v>OK</v>
      </c>
    </row>
    <row r="10" customFormat="false" ht="15" hidden="false" customHeight="false" outlineLevel="0" collapsed="false">
      <c r="A10" s="27" t="n">
        <f aca="false">'Tariff increases'!A11</f>
        <v>2017</v>
      </c>
      <c r="B10" s="31" t="n">
        <f aca="false">'Tariff increases'!F11</f>
        <v>88</v>
      </c>
      <c r="C10" s="31" t="n">
        <f aca="false">'Tariff increases'!F10</f>
        <v>86</v>
      </c>
      <c r="D10" s="29" t="n">
        <f aca="false">'Tariff increases'!C11</f>
        <v>0.022</v>
      </c>
      <c r="E10" s="32" t="n">
        <f aca="false">B10/C10-1</f>
        <v>0.0232558139534884</v>
      </c>
      <c r="F10" s="32" t="n">
        <f aca="false">(B10-0.5)/(C10+0.5)-1</f>
        <v>0.0115606936416186</v>
      </c>
      <c r="G10" s="32" t="n">
        <f aca="false">(B10+0.5)/(C10-0.5)-1</f>
        <v>0.0350877192982457</v>
      </c>
      <c r="H10" s="14" t="str">
        <f aca="false">IF(AND(D10&gt;=F10,D10&lt;=G10),"OK","CHECK")</f>
        <v>OK</v>
      </c>
    </row>
    <row r="11" customFormat="false" ht="15" hidden="false" customHeight="false" outlineLevel="0" collapsed="false">
      <c r="A11" s="27" t="n">
        <f aca="false">'Tariff increases'!A12</f>
        <v>2018</v>
      </c>
      <c r="B11" s="31" t="n">
        <f aca="false">'Tariff increases'!F12</f>
        <v>93</v>
      </c>
      <c r="C11" s="31" t="n">
        <f aca="false">'Tariff increases'!F11</f>
        <v>88</v>
      </c>
      <c r="D11" s="29" t="n">
        <f aca="false">'Tariff increases'!C12</f>
        <v>0.0523</v>
      </c>
      <c r="E11" s="32" t="n">
        <f aca="false">B11/C11-1</f>
        <v>0.0568181818181819</v>
      </c>
      <c r="F11" s="32" t="n">
        <f aca="false">(B11-0.5)/(C11+0.5)-1</f>
        <v>0.0451977401129944</v>
      </c>
      <c r="G11" s="32" t="n">
        <f aca="false">(B11+0.5)/(C11-0.5)-1</f>
        <v>0.0685714285714285</v>
      </c>
      <c r="H11" s="14" t="str">
        <f aca="false">IF(AND(D11&gt;=F11,D11&lt;=G11),"OK","CHECK")</f>
        <v>OK</v>
      </c>
    </row>
    <row r="12" customFormat="false" ht="15" hidden="false" customHeight="false" outlineLevel="0" collapsed="false">
      <c r="A12" s="27" t="n">
        <f aca="false">'Tariff increases'!A13</f>
        <v>2019</v>
      </c>
      <c r="B12" s="31" t="n">
        <f aca="false">'Tariff increases'!F13</f>
        <v>102</v>
      </c>
      <c r="C12" s="31" t="n">
        <f aca="false">'Tariff increases'!F12</f>
        <v>93</v>
      </c>
      <c r="D12" s="29" t="n">
        <f aca="false">'Tariff increases'!C13</f>
        <v>0.094</v>
      </c>
      <c r="E12" s="32" t="n">
        <f aca="false">B12/C12-1</f>
        <v>0.096774193548387</v>
      </c>
      <c r="F12" s="32" t="n">
        <f aca="false">(B12-0.5)/(C12+0.5)-1</f>
        <v>0.0855614973262031</v>
      </c>
      <c r="G12" s="32" t="n">
        <f aca="false">(B12+0.5)/(C12-0.5)-1</f>
        <v>0.108108108108108</v>
      </c>
      <c r="H12" s="14" t="str">
        <f aca="false">IF(AND(D12&gt;=F12,D12&lt;=G12),"OK","CHECK")</f>
        <v>OK</v>
      </c>
    </row>
    <row r="13" customFormat="false" ht="15" hidden="false" customHeight="false" outlineLevel="0" collapsed="false">
      <c r="A13" s="27" t="n">
        <f aca="false">'Tariff increases'!A14</f>
        <v>2020</v>
      </c>
      <c r="B13" s="31" t="n">
        <f aca="false">'Tariff increases'!F14</f>
        <v>109</v>
      </c>
      <c r="C13" s="31" t="n">
        <f aca="false">'Tariff increases'!F13</f>
        <v>102</v>
      </c>
      <c r="D13" s="29" t="n">
        <f aca="false">'Tariff increases'!C14</f>
        <v>0.069</v>
      </c>
      <c r="E13" s="32" t="n">
        <f aca="false">B13/C13-1</f>
        <v>0.0686274509803921</v>
      </c>
      <c r="F13" s="32" t="n">
        <f aca="false">(B13-0.5)/(C13+0.5)-1</f>
        <v>0.0585365853658537</v>
      </c>
      <c r="G13" s="32" t="n">
        <f aca="false">(B13+0.5)/(C13-0.5)-1</f>
        <v>0.0788177339901477</v>
      </c>
      <c r="H13" s="14" t="str">
        <f aca="false">IF(AND(D13&gt;=F13,D13&lt;=G13),"OK","CHECK")</f>
        <v>OK</v>
      </c>
    </row>
    <row r="14" customFormat="false" ht="15" hidden="false" customHeight="false" outlineLevel="0" collapsed="false">
      <c r="A14" s="27" t="n">
        <f aca="false">'Tariff increases'!A15</f>
        <v>2021</v>
      </c>
      <c r="B14" s="31" t="n">
        <f aca="false">'Tariff increases'!F15</f>
        <v>126</v>
      </c>
      <c r="C14" s="31" t="n">
        <f aca="false">'Tariff increases'!F14</f>
        <v>109</v>
      </c>
      <c r="D14" s="29" t="n">
        <f aca="false">'Tariff increases'!C15</f>
        <v>0.1563</v>
      </c>
      <c r="E14" s="32" t="n">
        <f aca="false">B14/C14-1</f>
        <v>0.155963302752294</v>
      </c>
      <c r="F14" s="32" t="n">
        <f aca="false">(B14-0.5)/(C14+0.5)-1</f>
        <v>0.146118721461187</v>
      </c>
      <c r="G14" s="32" t="n">
        <f aca="false">(B14+0.5)/(C14-0.5)-1</f>
        <v>0.165898617511521</v>
      </c>
      <c r="H14" s="14" t="str">
        <f aca="false">IF(AND(D14&gt;=F14,D14&lt;=G14),"OK","CHECK")</f>
        <v>OK</v>
      </c>
    </row>
    <row r="15" customFormat="false" ht="15" hidden="false" customHeight="false" outlineLevel="0" collapsed="false">
      <c r="A15" s="27" t="n">
        <f aca="false">'Tariff increases'!A16</f>
        <v>2022</v>
      </c>
      <c r="B15" s="31" t="n">
        <f aca="false">'Tariff increases'!F16</f>
        <v>138</v>
      </c>
      <c r="C15" s="31" t="n">
        <f aca="false">'Tariff increases'!F15</f>
        <v>126</v>
      </c>
      <c r="D15" s="29" t="n">
        <f aca="false">'Tariff increases'!C16</f>
        <v>0.0961</v>
      </c>
      <c r="E15" s="32" t="n">
        <f aca="false">B15/C15-1</f>
        <v>0.0952380952380953</v>
      </c>
      <c r="F15" s="32" t="n">
        <f aca="false">(B15-0.5)/(C15+0.5)-1</f>
        <v>0.0869565217391304</v>
      </c>
      <c r="G15" s="32" t="n">
        <f aca="false">(B15+0.5)/(C15-0.5)-1</f>
        <v>0.103585657370518</v>
      </c>
      <c r="H15" s="14" t="str">
        <f aca="false">IF(AND(D15&gt;=F15,D15&lt;=G15),"OK","CHECK")</f>
        <v>OK</v>
      </c>
    </row>
    <row r="16" customFormat="false" ht="15" hidden="false" customHeight="false" outlineLevel="0" collapsed="false">
      <c r="A16" s="27" t="n">
        <f aca="false">'Tariff increases'!A17</f>
        <v>2023</v>
      </c>
      <c r="B16" s="31" t="n">
        <f aca="false">'Tariff increases'!F17</f>
        <v>164</v>
      </c>
      <c r="C16" s="31" t="n">
        <f aca="false">'Tariff increases'!F16</f>
        <v>138</v>
      </c>
      <c r="D16" s="29" t="n">
        <f aca="false">'Tariff increases'!C17</f>
        <v>0.1865</v>
      </c>
      <c r="E16" s="32" t="n">
        <f aca="false">B16/C16-1</f>
        <v>0.188405797101449</v>
      </c>
      <c r="F16" s="32" t="n">
        <f aca="false">(B16-0.5)/(C16+0.5)-1</f>
        <v>0.180505415162455</v>
      </c>
      <c r="G16" s="32" t="n">
        <f aca="false">(B16+0.5)/(C16-0.5)-1</f>
        <v>0.196363636363636</v>
      </c>
      <c r="H16" s="14" t="str">
        <f aca="false">IF(AND(D16&gt;=F16,D16&lt;=G16),"OK","CHECK")</f>
        <v>OK</v>
      </c>
    </row>
    <row r="17" customFormat="false" ht="15" hidden="false" customHeight="false" outlineLevel="0" collapsed="false">
      <c r="A17" s="27" t="n">
        <f aca="false">'Tariff increases'!A18</f>
        <v>2024</v>
      </c>
      <c r="B17" s="31" t="n">
        <f aca="false">'Tariff increases'!F18</f>
        <v>185</v>
      </c>
      <c r="C17" s="31" t="n">
        <f aca="false">'Tariff increases'!F17</f>
        <v>164</v>
      </c>
      <c r="D17" s="29" t="n">
        <f aca="false">'Tariff increases'!C18</f>
        <v>0.1274</v>
      </c>
      <c r="E17" s="32" t="n">
        <f aca="false">B17/C17-1</f>
        <v>0.128048780487805</v>
      </c>
      <c r="F17" s="32" t="n">
        <f aca="false">(B17-0.5)/(C17+0.5)-1</f>
        <v>0.121580547112462</v>
      </c>
      <c r="G17" s="32" t="n">
        <f aca="false">(B17+0.5)/(C17-0.5)-1</f>
        <v>0.134556574923547</v>
      </c>
      <c r="H17" s="14" t="str">
        <f aca="false">IF(AND(D17&gt;=F17,D17&lt;=G17),"OK","CHECK")</f>
        <v>OK</v>
      </c>
    </row>
    <row r="18" customFormat="false" ht="15" hidden="false" customHeight="false" outlineLevel="0" collapsed="false">
      <c r="A18" s="27" t="n">
        <f aca="false">'Tariff increases'!A19</f>
        <v>2025</v>
      </c>
      <c r="B18" s="31" t="n">
        <f aca="false">'Tariff increases'!F19</f>
        <v>208</v>
      </c>
      <c r="C18" s="31" t="n">
        <f aca="false">'Tariff increases'!F18</f>
        <v>185</v>
      </c>
      <c r="D18" s="29" t="n">
        <f aca="false">'Tariff increases'!C19</f>
        <v>0.1274</v>
      </c>
      <c r="E18" s="32" t="n">
        <f aca="false">B18/C18-1</f>
        <v>0.124324324324324</v>
      </c>
      <c r="F18" s="32" t="n">
        <f aca="false">(B18-0.5)/(C18+0.5)-1</f>
        <v>0.118598382749326</v>
      </c>
      <c r="G18" s="32" t="n">
        <f aca="false">(B18+0.5)/(C18-0.5)-1</f>
        <v>0.130081300813008</v>
      </c>
      <c r="H18" s="14" t="str">
        <f aca="false">IF(AND(D18&gt;=F18,D18&lt;=G18),"OK","CHECK")</f>
        <v>OK</v>
      </c>
    </row>
    <row r="19" customFormat="false" ht="15" hidden="false" customHeight="false" outlineLevel="0" collapsed="false">
      <c r="A19" s="27" t="n">
        <f aca="false">'Tariff increases'!A20</f>
        <v>2026</v>
      </c>
      <c r="B19" s="31" t="n">
        <f aca="false">'Tariff increases'!F20</f>
        <v>226</v>
      </c>
      <c r="C19" s="31" t="n">
        <f aca="false">'Tariff increases'!F19</f>
        <v>208</v>
      </c>
      <c r="D19" s="29" t="n">
        <f aca="false">'Tariff increases'!C20</f>
        <v>0.0876</v>
      </c>
      <c r="E19" s="32" t="n">
        <f aca="false">B19/C19-1</f>
        <v>0.0865384615384615</v>
      </c>
      <c r="F19" s="32" t="n">
        <f aca="false">(B19-0.5)/(C19+0.5)-1</f>
        <v>0.0815347721822541</v>
      </c>
      <c r="G19" s="32" t="n">
        <f aca="false">(B19+0.5)/(C19-0.5)-1</f>
        <v>0.0915662650602409</v>
      </c>
      <c r="H19" s="14" t="str">
        <f aca="false">IF(AND(D19&gt;=F19,D19&lt;=G19),"OK","CHECK")</f>
        <v>OK</v>
      </c>
    </row>
    <row r="21" customFormat="false" ht="15" hidden="false" customHeight="false" outlineLevel="0" collapsed="false">
      <c r="A21" s="30" t="s">
        <v>130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20"/>
    <col collapsed="false" customWidth="true" hidden="false" outlineLevel="0" max="4" min="4" style="0" width="52"/>
    <col collapsed="false" customWidth="true" hidden="false" outlineLevel="0" max="5" min="5" style="0" width="70"/>
    <col collapsed="false" customWidth="true" hidden="false" outlineLevel="0" max="6" min="6" style="0" width="14"/>
    <col collapsed="false" customWidth="true" hidden="false" outlineLevel="0" max="7" min="7" style="0" width="52"/>
  </cols>
  <sheetData>
    <row r="1" customFormat="false" ht="31.5" hidden="false" customHeight="true" outlineLevel="0" collapsed="false">
      <c r="A1" s="12" t="s">
        <v>131</v>
      </c>
      <c r="B1" s="12" t="s">
        <v>85</v>
      </c>
      <c r="C1" s="12" t="s">
        <v>132</v>
      </c>
      <c r="D1" s="12" t="s">
        <v>133</v>
      </c>
      <c r="E1" s="12" t="s">
        <v>134</v>
      </c>
      <c r="F1" s="12" t="s">
        <v>135</v>
      </c>
      <c r="G1" s="12" t="s">
        <v>46</v>
      </c>
    </row>
    <row r="2" customFormat="false" ht="23.85" hidden="false" customHeight="false" outlineLevel="0" collapsed="false">
      <c r="A2" s="33" t="n">
        <v>1</v>
      </c>
      <c r="B2" s="18" t="s">
        <v>136</v>
      </c>
      <c r="C2" s="22" t="s">
        <v>137</v>
      </c>
      <c r="D2" s="18" t="s">
        <v>138</v>
      </c>
      <c r="E2" s="34" t="s">
        <v>139</v>
      </c>
      <c r="F2" s="22" t="s">
        <v>140</v>
      </c>
      <c r="G2" s="18" t="s">
        <v>141</v>
      </c>
    </row>
    <row r="3" customFormat="false" ht="15" hidden="false" customHeight="false" outlineLevel="0" collapsed="false">
      <c r="A3" s="33" t="n">
        <v>2</v>
      </c>
      <c r="B3" s="18" t="s">
        <v>142</v>
      </c>
      <c r="C3" s="22" t="s">
        <v>137</v>
      </c>
      <c r="D3" s="18" t="s">
        <v>143</v>
      </c>
      <c r="E3" s="34" t="s">
        <v>144</v>
      </c>
      <c r="F3" s="22" t="s">
        <v>140</v>
      </c>
      <c r="G3" s="18" t="s">
        <v>145</v>
      </c>
    </row>
    <row r="4" customFormat="false" ht="23.85" hidden="false" customHeight="false" outlineLevel="0" collapsed="false">
      <c r="A4" s="33" t="n">
        <v>3</v>
      </c>
      <c r="B4" s="18" t="s">
        <v>146</v>
      </c>
      <c r="C4" s="22" t="s">
        <v>137</v>
      </c>
      <c r="D4" s="18" t="s">
        <v>147</v>
      </c>
      <c r="E4" s="34" t="s">
        <v>148</v>
      </c>
      <c r="F4" s="22" t="s">
        <v>140</v>
      </c>
      <c r="G4" s="18" t="s">
        <v>149</v>
      </c>
    </row>
    <row r="5" customFormat="false" ht="15" hidden="false" customHeight="false" outlineLevel="0" collapsed="false">
      <c r="A5" s="33" t="n">
        <v>4</v>
      </c>
      <c r="B5" s="18" t="s">
        <v>150</v>
      </c>
      <c r="C5" s="22" t="s">
        <v>151</v>
      </c>
      <c r="D5" s="18" t="s">
        <v>152</v>
      </c>
      <c r="E5" s="34" t="s">
        <v>153</v>
      </c>
      <c r="F5" s="22" t="s">
        <v>140</v>
      </c>
      <c r="G5" s="18" t="s">
        <v>154</v>
      </c>
    </row>
    <row r="6" customFormat="false" ht="23.85" hidden="false" customHeight="false" outlineLevel="0" collapsed="false">
      <c r="A6" s="33" t="n">
        <v>5</v>
      </c>
      <c r="B6" s="18" t="s">
        <v>155</v>
      </c>
      <c r="C6" s="22" t="s">
        <v>151</v>
      </c>
      <c r="D6" s="18" t="s">
        <v>156</v>
      </c>
      <c r="E6" s="34" t="s">
        <v>157</v>
      </c>
      <c r="F6" s="22" t="s">
        <v>140</v>
      </c>
      <c r="G6" s="18" t="s">
        <v>51</v>
      </c>
    </row>
    <row r="7" customFormat="false" ht="15" hidden="false" customHeight="false" outlineLevel="0" collapsed="false">
      <c r="A7" s="33" t="n">
        <v>6</v>
      </c>
      <c r="B7" s="18" t="s">
        <v>158</v>
      </c>
      <c r="C7" s="22" t="s">
        <v>151</v>
      </c>
      <c r="D7" s="18" t="s">
        <v>159</v>
      </c>
      <c r="E7" s="34" t="s">
        <v>160</v>
      </c>
      <c r="F7" s="22" t="s">
        <v>140</v>
      </c>
      <c r="G7" s="18" t="s">
        <v>161</v>
      </c>
    </row>
    <row r="8" customFormat="false" ht="23.85" hidden="false" customHeight="false" outlineLevel="0" collapsed="false">
      <c r="A8" s="33" t="n">
        <v>7</v>
      </c>
      <c r="B8" s="18" t="s">
        <v>162</v>
      </c>
      <c r="C8" s="22" t="s">
        <v>151</v>
      </c>
      <c r="D8" s="18" t="s">
        <v>163</v>
      </c>
      <c r="E8" s="34" t="s">
        <v>164</v>
      </c>
      <c r="F8" s="22" t="s">
        <v>140</v>
      </c>
      <c r="G8" s="18" t="s">
        <v>165</v>
      </c>
    </row>
    <row r="9" customFormat="false" ht="23.85" hidden="false" customHeight="false" outlineLevel="0" collapsed="false">
      <c r="A9" s="33" t="n">
        <v>8</v>
      </c>
      <c r="B9" s="18" t="s">
        <v>166</v>
      </c>
      <c r="C9" s="22" t="s">
        <v>151</v>
      </c>
      <c r="D9" s="18" t="s">
        <v>167</v>
      </c>
      <c r="E9" s="34" t="s">
        <v>168</v>
      </c>
      <c r="F9" s="22" t="s">
        <v>140</v>
      </c>
      <c r="G9" s="18" t="s">
        <v>169</v>
      </c>
    </row>
    <row r="10" customFormat="false" ht="23.85" hidden="false" customHeight="false" outlineLevel="0" collapsed="false">
      <c r="A10" s="33" t="n">
        <v>9</v>
      </c>
      <c r="B10" s="18" t="s">
        <v>170</v>
      </c>
      <c r="C10" s="22" t="s">
        <v>171</v>
      </c>
      <c r="D10" s="18" t="s">
        <v>172</v>
      </c>
      <c r="E10" s="34" t="s">
        <v>173</v>
      </c>
      <c r="F10" s="22" t="s">
        <v>140</v>
      </c>
      <c r="G10" s="18" t="s">
        <v>174</v>
      </c>
    </row>
    <row r="11" customFormat="false" ht="23.85" hidden="false" customHeight="false" outlineLevel="0" collapsed="false">
      <c r="A11" s="33" t="n">
        <v>10</v>
      </c>
      <c r="B11" s="18" t="s">
        <v>175</v>
      </c>
      <c r="C11" s="22" t="s">
        <v>176</v>
      </c>
      <c r="D11" s="18" t="s">
        <v>177</v>
      </c>
      <c r="E11" s="34" t="s">
        <v>178</v>
      </c>
      <c r="F11" s="22" t="s">
        <v>140</v>
      </c>
      <c r="G11" s="18" t="s">
        <v>179</v>
      </c>
    </row>
    <row r="12" customFormat="false" ht="23.85" hidden="false" customHeight="false" outlineLevel="0" collapsed="false">
      <c r="A12" s="33" t="n">
        <v>11</v>
      </c>
      <c r="B12" s="18" t="s">
        <v>180</v>
      </c>
      <c r="C12" s="22" t="s">
        <v>151</v>
      </c>
      <c r="D12" s="18" t="s">
        <v>181</v>
      </c>
      <c r="E12" s="34" t="s">
        <v>182</v>
      </c>
      <c r="F12" s="22" t="s">
        <v>140</v>
      </c>
      <c r="G12" s="18"/>
    </row>
    <row r="13" customFormat="false" ht="15" hidden="false" customHeight="false" outlineLevel="0" collapsed="false">
      <c r="A13" s="33" t="n">
        <v>12</v>
      </c>
      <c r="B13" s="18" t="s">
        <v>183</v>
      </c>
      <c r="C13" s="22" t="s">
        <v>151</v>
      </c>
      <c r="D13" s="18" t="s">
        <v>184</v>
      </c>
      <c r="E13" s="34" t="s">
        <v>185</v>
      </c>
      <c r="F13" s="22" t="s">
        <v>140</v>
      </c>
      <c r="G13" s="18" t="s">
        <v>186</v>
      </c>
    </row>
    <row r="14" customFormat="false" ht="15" hidden="false" customHeight="false" outlineLevel="0" collapsed="false">
      <c r="A14" s="33" t="n">
        <v>13</v>
      </c>
      <c r="B14" s="18" t="s">
        <v>187</v>
      </c>
      <c r="C14" s="22" t="s">
        <v>151</v>
      </c>
      <c r="D14" s="18" t="s">
        <v>188</v>
      </c>
      <c r="E14" s="34" t="s">
        <v>189</v>
      </c>
      <c r="F14" s="22" t="s">
        <v>140</v>
      </c>
      <c r="G14" s="18"/>
    </row>
    <row r="15" customFormat="false" ht="15" hidden="false" customHeight="false" outlineLevel="0" collapsed="false">
      <c r="A15" s="33" t="n">
        <v>14</v>
      </c>
      <c r="B15" s="18" t="s">
        <v>190</v>
      </c>
      <c r="C15" s="22" t="s">
        <v>151</v>
      </c>
      <c r="D15" s="18" t="s">
        <v>191</v>
      </c>
      <c r="E15" s="34" t="s">
        <v>192</v>
      </c>
      <c r="F15" s="22" t="s">
        <v>140</v>
      </c>
      <c r="G15" s="18"/>
    </row>
    <row r="16" customFormat="false" ht="23.85" hidden="false" customHeight="false" outlineLevel="0" collapsed="false">
      <c r="A16" s="33" t="n">
        <v>15</v>
      </c>
      <c r="B16" s="18" t="s">
        <v>193</v>
      </c>
      <c r="C16" s="22" t="s">
        <v>151</v>
      </c>
      <c r="D16" s="18" t="s">
        <v>194</v>
      </c>
      <c r="E16" s="34" t="s">
        <v>195</v>
      </c>
      <c r="F16" s="22" t="s">
        <v>140</v>
      </c>
      <c r="G16" s="18"/>
    </row>
    <row r="17" customFormat="false" ht="23.85" hidden="false" customHeight="false" outlineLevel="0" collapsed="false">
      <c r="A17" s="33" t="n">
        <v>16</v>
      </c>
      <c r="B17" s="18" t="s">
        <v>196</v>
      </c>
      <c r="C17" s="22" t="s">
        <v>151</v>
      </c>
      <c r="D17" s="18" t="s">
        <v>197</v>
      </c>
      <c r="E17" s="34" t="s">
        <v>198</v>
      </c>
      <c r="F17" s="22" t="s">
        <v>140</v>
      </c>
      <c r="G17" s="18"/>
    </row>
    <row r="18" customFormat="false" ht="23.85" hidden="false" customHeight="false" outlineLevel="0" collapsed="false">
      <c r="A18" s="33" t="n">
        <v>17</v>
      </c>
      <c r="B18" s="18" t="s">
        <v>199</v>
      </c>
      <c r="C18" s="22" t="s">
        <v>151</v>
      </c>
      <c r="D18" s="18" t="s">
        <v>200</v>
      </c>
      <c r="E18" s="34" t="s">
        <v>201</v>
      </c>
      <c r="F18" s="22" t="s">
        <v>140</v>
      </c>
      <c r="G18" s="18"/>
    </row>
    <row r="19" customFormat="false" ht="15" hidden="false" customHeight="false" outlineLevel="0" collapsed="false">
      <c r="A19" s="33" t="n">
        <v>18</v>
      </c>
      <c r="B19" s="18" t="s">
        <v>202</v>
      </c>
      <c r="C19" s="22" t="s">
        <v>176</v>
      </c>
      <c r="D19" s="18" t="s">
        <v>203</v>
      </c>
      <c r="E19" s="34" t="s">
        <v>204</v>
      </c>
      <c r="F19" s="22" t="s">
        <v>140</v>
      </c>
      <c r="G19" s="18" t="s">
        <v>205</v>
      </c>
    </row>
    <row r="20" customFormat="false" ht="23.85" hidden="false" customHeight="false" outlineLevel="0" collapsed="false">
      <c r="A20" s="33" t="n">
        <v>19</v>
      </c>
      <c r="B20" s="18" t="s">
        <v>206</v>
      </c>
      <c r="C20" s="22" t="s">
        <v>151</v>
      </c>
      <c r="D20" s="18" t="s">
        <v>207</v>
      </c>
      <c r="E20" s="34" t="s">
        <v>208</v>
      </c>
      <c r="F20" s="22" t="s">
        <v>140</v>
      </c>
      <c r="G20" s="18" t="s">
        <v>205</v>
      </c>
    </row>
    <row r="21" customFormat="false" ht="23.85" hidden="false" customHeight="false" outlineLevel="0" collapsed="false">
      <c r="A21" s="33" t="n">
        <v>20</v>
      </c>
      <c r="B21" s="18" t="s">
        <v>209</v>
      </c>
      <c r="C21" s="22" t="s">
        <v>151</v>
      </c>
      <c r="D21" s="18" t="s">
        <v>210</v>
      </c>
      <c r="E21" s="34" t="s">
        <v>211</v>
      </c>
      <c r="F21" s="22" t="s">
        <v>140</v>
      </c>
      <c r="G21" s="18" t="s">
        <v>212</v>
      </c>
    </row>
    <row r="22" customFormat="false" ht="15" hidden="false" customHeight="false" outlineLevel="0" collapsed="false">
      <c r="A22" s="33" t="n">
        <v>21</v>
      </c>
      <c r="B22" s="18" t="s">
        <v>213</v>
      </c>
      <c r="C22" s="22" t="s">
        <v>151</v>
      </c>
      <c r="D22" s="18" t="s">
        <v>214</v>
      </c>
      <c r="E22" s="34" t="s">
        <v>215</v>
      </c>
      <c r="F22" s="22" t="s">
        <v>140</v>
      </c>
      <c r="G22" s="18" t="s">
        <v>216</v>
      </c>
    </row>
    <row r="23" customFormat="false" ht="23.85" hidden="false" customHeight="false" outlineLevel="0" collapsed="false">
      <c r="A23" s="33" t="n">
        <v>22</v>
      </c>
      <c r="B23" s="18" t="s">
        <v>217</v>
      </c>
      <c r="C23" s="22" t="s">
        <v>218</v>
      </c>
      <c r="D23" s="18" t="s">
        <v>219</v>
      </c>
      <c r="E23" s="34" t="s">
        <v>220</v>
      </c>
      <c r="F23" s="22" t="s">
        <v>140</v>
      </c>
      <c r="G23" s="18" t="s">
        <v>221</v>
      </c>
    </row>
  </sheetData>
  <hyperlinks>
    <hyperlink ref="E2" r:id="rId1" display="https://www.statssa.gov.za/publications/P0141/CPIHistory.pdf?SCH=73815"/>
    <hyperlink ref="E3" r:id="rId2" display="https://statssa.gov.za/publications/P0141/P0141May2008.pdf"/>
    <hyperlink ref="E4" r:id="rId3" display="https://www.eskom.co.za/distribution/wp-content/uploads/2022/05/4756-ESKOM-Tariff-Booklet-2022-Final-Rev.pdf"/>
    <hyperlink ref="E5" r:id="rId4" display="https://mg.co.za/business/2008-06-25-may-cpix-jumps-to-10-9/"/>
    <hyperlink ref="E6" r:id="rId5" display="https://mg.co.za/article/2009-06-25-eskom-granted-a-313-tariff-increase"/>
    <hyperlink ref="E7" r:id="rId6" display="https://mg.co.za/article/2009-03-25-inflation-up-86-in-february/"/>
    <hyperlink ref="E8" r:id="rId7" display="https://mg.co.za/article/2011-06-22-consumer-price-index-for-may-up-at-46/"/>
    <hyperlink ref="E9" r:id="rId8" display="https://www.pressreader.com/south-africa/sunday-times-1107/20190310/282376925893489"/>
    <hyperlink ref="E10" r:id="rId9" display="https://mybroadband.co.za/news/energy/362660-eskom-electricity-prices-1994-to-2020.html"/>
    <hyperlink ref="E11" r:id="rId10" display="https://www.ourpower.co.za/tools/eskom-tariff-history"/>
    <hyperlink ref="E12" r:id="rId11" display="https://www.sowetan.co.za/news/2026-09-09-eskom-entering-death-spiral-as-higher-costs-push-consumers-to-alternative-energy-sources/"/>
    <hyperlink ref="E13" r:id="rId12" display="https://www.savepower.co.za/eskom-electricity-tariffs.html"/>
    <hyperlink ref="E14" r:id="rId13" display="https://poweroptimal.com/2021-update-eskom-tariff-increases-vs-inflation-since-1988/"/>
    <hyperlink ref="E15" r:id="rId14" display="https://poweroptimal.com/2024-update-eskom-tariff-increases-vs-inflation-since-1988-with-projections-to-2026/"/>
    <hyperlink ref="E16" r:id="rId15" display="https://www.news24.com/fin24/Economy/nersa-approves-1865-electricity-tariff-hike-for-eskom-20230112"/>
    <hyperlink ref="E17" r:id="rId16" display="https://www.engineeringnews.co.za/article/nersa-approves-tariff-hike-for-april-1-as-eskom-reports-r16bn-interim-profit-2025-01-30"/>
    <hyperlink ref="E18" r:id="rId17" display="https://www.engineeringnews.co.za/article/nersa-approves-higher-electricity-hikes-for-202627-after-r547bn-error-2026-03-10"/>
    <hyperlink ref="E19" r:id="rId18" display="https://businesstech.co.za/news/energy/91216/eskoms-shocking-annual-price-hike-since-2007/"/>
    <hyperlink ref="E20" r:id="rId19" display="https://citizen.co.za/lowvelder/?p=318316"/>
    <hyperlink ref="E21" r:id="rId20" display="https://dailyinvestor.com/energy/155975/south-africans-will-pay-10-times-for-electricity-in-2027-than-they-did-in-2008/"/>
    <hyperlink ref="E22" r:id="rId21" display="https://codera.co.za/historical-eskom-electricity-tariffs-increases-in-sa/"/>
    <hyperlink ref="E23" r:id="rId22" display="https://www.statssa.gov.za/?p=15612"/>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2026-10-30T19:52:06Z</dcterms:created>
  <dc:creator>openpyxl</dc:creator>
  <dc:description/>
  <dc:language>en-US</dc:language>
  <cp:lastModifiedBy/>
  <dcterms:modified xsi:type="dcterms:W3CDTF">2026-10-30T19:52:06Z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